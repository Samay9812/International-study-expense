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8dcc70bf9aa2c53/Desktop/Optimize/"/>
    </mc:Choice>
  </mc:AlternateContent>
  <xr:revisionPtr revIDLastSave="3585" documentId="13_ncr:1_{2C56BFC2-467A-459E-B1A8-763306D8D5BB}" xr6:coauthVersionLast="47" xr6:coauthVersionMax="47" xr10:uidLastSave="{268D56E2-4BCC-4CBF-8C64-94EBB124FE7F}"/>
  <bookViews>
    <workbookView xWindow="-108" yWindow="-108" windowWidth="23256" windowHeight="12456" tabRatio="836" firstSheet="1" activeTab="10" xr2:uid="{F6A035A3-3A79-42F9-8C6E-F3D92CC4A60D}"/>
  </bookViews>
  <sheets>
    <sheet name="Expense" sheetId="1" r:id="rId1"/>
    <sheet name="Expense monthly" sheetId="14" r:id="rId2"/>
    <sheet name="Shopping before" sheetId="13" r:id="rId3"/>
    <sheet name="Fees Payment" sheetId="10" r:id="rId4"/>
    <sheet name="Loan" sheetId="9" r:id="rId5"/>
    <sheet name="Bank Account" sheetId="2" r:id="rId6"/>
    <sheet name="Earning" sheetId="7" r:id="rId7"/>
    <sheet name="Savings" sheetId="8" r:id="rId8"/>
    <sheet name="Macro" sheetId="3" r:id="rId9"/>
    <sheet name="Tracker" sheetId="4" r:id="rId10"/>
    <sheet name="Food" sheetId="12" r:id="rId11"/>
    <sheet name="Dashboard" sheetId="15" r:id="rId12"/>
  </sheets>
  <definedNames>
    <definedName name="_xlnm._FilterDatabase" localSheetId="9" hidden="1">Tracker!$A$1:$E$122</definedName>
  </definedNames>
  <calcPr calcId="191029"/>
  <pivotCaches>
    <pivotCache cacheId="0" r:id="rId13"/>
    <pivotCache cacheId="1" r:id="rId14"/>
    <pivotCache cacheId="2" r:id="rId15"/>
    <pivotCache cacheId="3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80" i="12" l="1"/>
  <c r="E579" i="12"/>
  <c r="F579" i="12" s="1"/>
  <c r="G579" i="12"/>
  <c r="H579" i="12" s="1"/>
  <c r="B580" i="12"/>
  <c r="B13" i="10"/>
  <c r="D13" i="10"/>
  <c r="C48" i="13"/>
  <c r="D48" i="13"/>
  <c r="B48" i="13"/>
  <c r="G3" i="12"/>
  <c r="H3" i="12" s="1"/>
  <c r="H2" i="12"/>
  <c r="F2" i="12"/>
  <c r="E3" i="12" s="1"/>
  <c r="F3" i="12" s="1"/>
  <c r="E4" i="12" s="1"/>
  <c r="F4" i="12" s="1"/>
  <c r="E5" i="12" s="1"/>
  <c r="F5" i="12" s="1"/>
  <c r="E6" i="12" s="1"/>
  <c r="F6" i="12" s="1"/>
  <c r="E7" i="12" s="1"/>
  <c r="F7" i="12" s="1"/>
  <c r="E8" i="12" s="1"/>
  <c r="F8" i="12" s="1"/>
  <c r="E9" i="12" s="1"/>
  <c r="F9" i="12" s="1"/>
  <c r="E10" i="12" s="1"/>
  <c r="F10" i="12" s="1"/>
  <c r="E11" i="12" s="1"/>
  <c r="F11" i="12" s="1"/>
  <c r="E12" i="12" s="1"/>
  <c r="F12" i="12" s="1"/>
  <c r="E13" i="12" s="1"/>
  <c r="F13" i="12" s="1"/>
  <c r="E14" i="12" s="1"/>
  <c r="F14" i="12" s="1"/>
  <c r="E15" i="12" s="1"/>
  <c r="F15" i="12" s="1"/>
  <c r="E16" i="12" s="1"/>
  <c r="F16" i="12" s="1"/>
  <c r="E17" i="12" s="1"/>
  <c r="F17" i="12" s="1"/>
  <c r="E18" i="12" s="1"/>
  <c r="F18" i="12" s="1"/>
  <c r="E19" i="12" s="1"/>
  <c r="F19" i="12" s="1"/>
  <c r="E20" i="12" s="1"/>
  <c r="F20" i="12" s="1"/>
  <c r="E21" i="12" s="1"/>
  <c r="F21" i="12" s="1"/>
  <c r="E22" i="12" s="1"/>
  <c r="F22" i="12" s="1"/>
  <c r="E23" i="12" s="1"/>
  <c r="F23" i="12" s="1"/>
  <c r="E24" i="12" s="1"/>
  <c r="F24" i="12" s="1"/>
  <c r="E25" i="12" s="1"/>
  <c r="F25" i="12" s="1"/>
  <c r="E26" i="12" s="1"/>
  <c r="F26" i="12" s="1"/>
  <c r="E27" i="12" s="1"/>
  <c r="F27" i="12" s="1"/>
  <c r="E28" i="12" s="1"/>
  <c r="F28" i="12" s="1"/>
  <c r="E29" i="12" s="1"/>
  <c r="F29" i="12" s="1"/>
  <c r="E30" i="12" s="1"/>
  <c r="F30" i="12" s="1"/>
  <c r="E31" i="12" s="1"/>
  <c r="F31" i="12" s="1"/>
  <c r="E32" i="12" s="1"/>
  <c r="F32" i="12" s="1"/>
  <c r="E33" i="12" s="1"/>
  <c r="F33" i="12" s="1"/>
  <c r="E34" i="12" s="1"/>
  <c r="F34" i="12" s="1"/>
  <c r="E35" i="12" s="1"/>
  <c r="F35" i="12" s="1"/>
  <c r="E36" i="12" s="1"/>
  <c r="F36" i="12" s="1"/>
  <c r="E37" i="12" s="1"/>
  <c r="F37" i="12" s="1"/>
  <c r="E38" i="12" s="1"/>
  <c r="F38" i="12" s="1"/>
  <c r="E39" i="12" s="1"/>
  <c r="F39" i="12" s="1"/>
  <c r="E40" i="12" s="1"/>
  <c r="F40" i="12" s="1"/>
  <c r="E41" i="12" s="1"/>
  <c r="F41" i="12" s="1"/>
  <c r="E42" i="12" s="1"/>
  <c r="F42" i="12" s="1"/>
  <c r="E43" i="12" s="1"/>
  <c r="F43" i="12" s="1"/>
  <c r="E44" i="12" s="1"/>
  <c r="F44" i="12" s="1"/>
  <c r="E45" i="12" s="1"/>
  <c r="F45" i="12" s="1"/>
  <c r="E46" i="12" s="1"/>
  <c r="F46" i="12" s="1"/>
  <c r="E47" i="12" s="1"/>
  <c r="F47" i="12" s="1"/>
  <c r="E48" i="12" s="1"/>
  <c r="F48" i="12" s="1"/>
  <c r="E49" i="12" s="1"/>
  <c r="F49" i="12" s="1"/>
  <c r="E50" i="12" s="1"/>
  <c r="F50" i="12" s="1"/>
  <c r="E51" i="12" s="1"/>
  <c r="F51" i="12" s="1"/>
  <c r="E52" i="12" s="1"/>
  <c r="F52" i="12" s="1"/>
  <c r="E53" i="12" s="1"/>
  <c r="F53" i="12" s="1"/>
  <c r="E54" i="12" s="1"/>
  <c r="F54" i="12" s="1"/>
  <c r="E55" i="12" s="1"/>
  <c r="F55" i="12" s="1"/>
  <c r="E56" i="12" s="1"/>
  <c r="F56" i="12" s="1"/>
  <c r="E57" i="12" s="1"/>
  <c r="F57" i="12" s="1"/>
  <c r="E58" i="12" s="1"/>
  <c r="F58" i="12" s="1"/>
  <c r="E59" i="12" s="1"/>
  <c r="F59" i="12" s="1"/>
  <c r="E60" i="12" s="1"/>
  <c r="F60" i="12" s="1"/>
  <c r="E61" i="12" s="1"/>
  <c r="F61" i="12" s="1"/>
  <c r="E62" i="12" s="1"/>
  <c r="F62" i="12" s="1"/>
  <c r="E63" i="12" s="1"/>
  <c r="F63" i="12" s="1"/>
  <c r="E64" i="12" s="1"/>
  <c r="F64" i="12" s="1"/>
  <c r="E65" i="12" s="1"/>
  <c r="F65" i="12" s="1"/>
  <c r="E66" i="12" s="1"/>
  <c r="F66" i="12" s="1"/>
  <c r="E67" i="12" s="1"/>
  <c r="F67" i="12" s="1"/>
  <c r="E68" i="12" s="1"/>
  <c r="F68" i="12" s="1"/>
  <c r="E69" i="12" s="1"/>
  <c r="F69" i="12" s="1"/>
  <c r="E70" i="12" s="1"/>
  <c r="F70" i="12" s="1"/>
  <c r="E71" i="12" s="1"/>
  <c r="F71" i="12" s="1"/>
  <c r="E72" i="12" s="1"/>
  <c r="F72" i="12" s="1"/>
  <c r="E73" i="12" s="1"/>
  <c r="F73" i="12" s="1"/>
  <c r="E74" i="12" s="1"/>
  <c r="F74" i="12" s="1"/>
  <c r="E75" i="12" s="1"/>
  <c r="F75" i="12" s="1"/>
  <c r="E76" i="12" s="1"/>
  <c r="F76" i="12" s="1"/>
  <c r="E77" i="12" s="1"/>
  <c r="F77" i="12" s="1"/>
  <c r="E78" i="12" s="1"/>
  <c r="F78" i="12" s="1"/>
  <c r="E79" i="12" s="1"/>
  <c r="F79" i="12" s="1"/>
  <c r="E80" i="12" s="1"/>
  <c r="F80" i="12" s="1"/>
  <c r="E81" i="12" s="1"/>
  <c r="F81" i="12" s="1"/>
  <c r="E82" i="12" s="1"/>
  <c r="F82" i="12" s="1"/>
  <c r="E83" i="12" s="1"/>
  <c r="F83" i="12" s="1"/>
  <c r="E84" i="12" s="1"/>
  <c r="F84" i="12" s="1"/>
  <c r="E85" i="12" s="1"/>
  <c r="F85" i="12" s="1"/>
  <c r="E86" i="12" s="1"/>
  <c r="F86" i="12" s="1"/>
  <c r="E87" i="12" s="1"/>
  <c r="F87" i="12" s="1"/>
  <c r="E88" i="12" s="1"/>
  <c r="F88" i="12" s="1"/>
  <c r="E89" i="12" s="1"/>
  <c r="F89" i="12" s="1"/>
  <c r="E90" i="12" s="1"/>
  <c r="F90" i="12" s="1"/>
  <c r="E91" i="12" s="1"/>
  <c r="F91" i="12" s="1"/>
  <c r="E92" i="12" s="1"/>
  <c r="F92" i="12" s="1"/>
  <c r="E93" i="12" s="1"/>
  <c r="F93" i="12" s="1"/>
  <c r="E94" i="12" s="1"/>
  <c r="F94" i="12" s="1"/>
  <c r="E95" i="12" s="1"/>
  <c r="F95" i="12" s="1"/>
  <c r="E96" i="12" s="1"/>
  <c r="F96" i="12" s="1"/>
  <c r="E97" i="12" s="1"/>
  <c r="F97" i="12" s="1"/>
  <c r="E98" i="12" s="1"/>
  <c r="F98" i="12" s="1"/>
  <c r="E99" i="12" s="1"/>
  <c r="F99" i="12" s="1"/>
  <c r="E100" i="12" s="1"/>
  <c r="F100" i="12" s="1"/>
  <c r="E101" i="12" s="1"/>
  <c r="F101" i="12" s="1"/>
  <c r="E102" i="12" s="1"/>
  <c r="F102" i="12" s="1"/>
  <c r="E103" i="12" s="1"/>
  <c r="F103" i="12" s="1"/>
  <c r="E104" i="12" s="1"/>
  <c r="F104" i="12" s="1"/>
  <c r="E105" i="12" s="1"/>
  <c r="F105" i="12" s="1"/>
  <c r="E106" i="12" s="1"/>
  <c r="F106" i="12" s="1"/>
  <c r="E107" i="12" s="1"/>
  <c r="F107" i="12" s="1"/>
  <c r="E108" i="12" s="1"/>
  <c r="F108" i="12" s="1"/>
  <c r="E109" i="12" s="1"/>
  <c r="F109" i="12" s="1"/>
  <c r="E110" i="12" s="1"/>
  <c r="F110" i="12" s="1"/>
  <c r="E111" i="12" s="1"/>
  <c r="F111" i="12" s="1"/>
  <c r="E112" i="12" s="1"/>
  <c r="F112" i="12" s="1"/>
  <c r="E113" i="12" s="1"/>
  <c r="F113" i="12" s="1"/>
  <c r="E114" i="12" s="1"/>
  <c r="F114" i="12" s="1"/>
  <c r="E115" i="12" s="1"/>
  <c r="F115" i="12" s="1"/>
  <c r="E116" i="12" s="1"/>
  <c r="F116" i="12" s="1"/>
  <c r="E117" i="12" s="1"/>
  <c r="F117" i="12" s="1"/>
  <c r="E118" i="12" s="1"/>
  <c r="F118" i="12" s="1"/>
  <c r="E119" i="12" s="1"/>
  <c r="F119" i="12" s="1"/>
  <c r="E120" i="12" s="1"/>
  <c r="F120" i="12" s="1"/>
  <c r="E121" i="12" s="1"/>
  <c r="F121" i="12" s="1"/>
  <c r="E122" i="12" s="1"/>
  <c r="F122" i="12" s="1"/>
  <c r="E123" i="12" s="1"/>
  <c r="F123" i="12" s="1"/>
  <c r="E124" i="12" s="1"/>
  <c r="F124" i="12" s="1"/>
  <c r="E125" i="12" s="1"/>
  <c r="F125" i="12" s="1"/>
  <c r="E126" i="12" s="1"/>
  <c r="F126" i="12" s="1"/>
  <c r="E127" i="12" s="1"/>
  <c r="F127" i="12" s="1"/>
  <c r="E128" i="12" s="1"/>
  <c r="F128" i="12" s="1"/>
  <c r="E129" i="12" s="1"/>
  <c r="F129" i="12" s="1"/>
  <c r="E130" i="12" s="1"/>
  <c r="F130" i="12" s="1"/>
  <c r="E131" i="12" s="1"/>
  <c r="F131" i="12" s="1"/>
  <c r="E132" i="12" s="1"/>
  <c r="F132" i="12" s="1"/>
  <c r="E133" i="12" s="1"/>
  <c r="F133" i="12" s="1"/>
  <c r="E134" i="12" s="1"/>
  <c r="F134" i="12" s="1"/>
  <c r="E135" i="12" s="1"/>
  <c r="F135" i="12" s="1"/>
  <c r="E136" i="12" s="1"/>
  <c r="F136" i="12" s="1"/>
  <c r="E137" i="12" s="1"/>
  <c r="F137" i="12" s="1"/>
  <c r="E138" i="12" s="1"/>
  <c r="F138" i="12" s="1"/>
  <c r="E139" i="12" s="1"/>
  <c r="F139" i="12" s="1"/>
  <c r="E140" i="12" s="1"/>
  <c r="F140" i="12" s="1"/>
  <c r="E141" i="12" s="1"/>
  <c r="F141" i="12" s="1"/>
  <c r="E142" i="12" s="1"/>
  <c r="F142" i="12" s="1"/>
  <c r="E143" i="12" s="1"/>
  <c r="F143" i="12" s="1"/>
  <c r="E144" i="12" s="1"/>
  <c r="F144" i="12" s="1"/>
  <c r="E145" i="12" s="1"/>
  <c r="F145" i="12" s="1"/>
  <c r="E146" i="12" s="1"/>
  <c r="F146" i="12" s="1"/>
  <c r="E147" i="12" s="1"/>
  <c r="F147" i="12" s="1"/>
  <c r="E148" i="12" s="1"/>
  <c r="F148" i="12" s="1"/>
  <c r="E149" i="12" s="1"/>
  <c r="F149" i="12" s="1"/>
  <c r="E150" i="12" s="1"/>
  <c r="F150" i="12" s="1"/>
  <c r="E151" i="12" s="1"/>
  <c r="F151" i="12" s="1"/>
  <c r="E152" i="12" s="1"/>
  <c r="F152" i="12" s="1"/>
  <c r="E153" i="12" s="1"/>
  <c r="F153" i="12" s="1"/>
  <c r="E154" i="12" s="1"/>
  <c r="F154" i="12" s="1"/>
  <c r="E155" i="12" s="1"/>
  <c r="F155" i="12" s="1"/>
  <c r="E156" i="12" s="1"/>
  <c r="F156" i="12" s="1"/>
  <c r="E157" i="12" s="1"/>
  <c r="F157" i="12" s="1"/>
  <c r="E158" i="12" s="1"/>
  <c r="F158" i="12" s="1"/>
  <c r="E159" i="12" s="1"/>
  <c r="F159" i="12" s="1"/>
  <c r="E160" i="12" s="1"/>
  <c r="F160" i="12" s="1"/>
  <c r="E161" i="12" s="1"/>
  <c r="F161" i="12" s="1"/>
  <c r="E162" i="12" s="1"/>
  <c r="F162" i="12" s="1"/>
  <c r="E163" i="12" s="1"/>
  <c r="F163" i="12" s="1"/>
  <c r="E164" i="12" s="1"/>
  <c r="F164" i="12" s="1"/>
  <c r="E165" i="12" s="1"/>
  <c r="F165" i="12" s="1"/>
  <c r="E166" i="12" s="1"/>
  <c r="F166" i="12" s="1"/>
  <c r="E167" i="12" s="1"/>
  <c r="F167" i="12" s="1"/>
  <c r="E168" i="12" s="1"/>
  <c r="F168" i="12" s="1"/>
  <c r="E169" i="12" s="1"/>
  <c r="F169" i="12" s="1"/>
  <c r="E170" i="12" s="1"/>
  <c r="F170" i="12" s="1"/>
  <c r="E171" i="12" s="1"/>
  <c r="F171" i="12" s="1"/>
  <c r="E172" i="12" s="1"/>
  <c r="F172" i="12" s="1"/>
  <c r="E173" i="12" s="1"/>
  <c r="F173" i="12" s="1"/>
  <c r="E174" i="12" s="1"/>
  <c r="F174" i="12" s="1"/>
  <c r="E175" i="12" s="1"/>
  <c r="F175" i="12" s="1"/>
  <c r="E176" i="12" s="1"/>
  <c r="F176" i="12" s="1"/>
  <c r="E177" i="12" s="1"/>
  <c r="F177" i="12" s="1"/>
  <c r="E178" i="12" s="1"/>
  <c r="F178" i="12" s="1"/>
  <c r="E179" i="12" s="1"/>
  <c r="F179" i="12" s="1"/>
  <c r="E180" i="12" s="1"/>
  <c r="F180" i="12" s="1"/>
  <c r="E181" i="12" s="1"/>
  <c r="F181" i="12" s="1"/>
  <c r="E182" i="12" s="1"/>
  <c r="F182" i="12" s="1"/>
  <c r="E183" i="12" s="1"/>
  <c r="F183" i="12" s="1"/>
  <c r="E184" i="12" s="1"/>
  <c r="F184" i="12" s="1"/>
  <c r="E185" i="12" s="1"/>
  <c r="F185" i="12" s="1"/>
  <c r="E186" i="12" s="1"/>
  <c r="F186" i="12" s="1"/>
  <c r="E187" i="12" s="1"/>
  <c r="F187" i="12" s="1"/>
  <c r="E188" i="12" s="1"/>
  <c r="F188" i="12" s="1"/>
  <c r="E189" i="12" s="1"/>
  <c r="F189" i="12" s="1"/>
  <c r="E190" i="12" s="1"/>
  <c r="F190" i="12" s="1"/>
  <c r="E191" i="12" s="1"/>
  <c r="F191" i="12" s="1"/>
  <c r="E192" i="12" s="1"/>
  <c r="F192" i="12" s="1"/>
  <c r="E193" i="12" s="1"/>
  <c r="F193" i="12" s="1"/>
  <c r="E194" i="12" s="1"/>
  <c r="F194" i="12" s="1"/>
  <c r="E195" i="12" s="1"/>
  <c r="F195" i="12" s="1"/>
  <c r="E196" i="12" s="1"/>
  <c r="F196" i="12" s="1"/>
  <c r="E197" i="12" s="1"/>
  <c r="F197" i="12" s="1"/>
  <c r="E198" i="12" s="1"/>
  <c r="F198" i="12" s="1"/>
  <c r="E199" i="12" s="1"/>
  <c r="F199" i="12" s="1"/>
  <c r="E200" i="12" s="1"/>
  <c r="F200" i="12" s="1"/>
  <c r="E201" i="12" s="1"/>
  <c r="F201" i="12" s="1"/>
  <c r="E202" i="12" s="1"/>
  <c r="F202" i="12" s="1"/>
  <c r="E203" i="12" s="1"/>
  <c r="F203" i="12" s="1"/>
  <c r="E204" i="12" s="1"/>
  <c r="F204" i="12" s="1"/>
  <c r="E205" i="12" s="1"/>
  <c r="F205" i="12" s="1"/>
  <c r="E206" i="12" s="1"/>
  <c r="F206" i="12" s="1"/>
  <c r="E207" i="12" s="1"/>
  <c r="F207" i="12" s="1"/>
  <c r="E208" i="12" s="1"/>
  <c r="F208" i="12" s="1"/>
  <c r="E209" i="12" s="1"/>
  <c r="F209" i="12" s="1"/>
  <c r="E210" i="12" s="1"/>
  <c r="F210" i="12" s="1"/>
  <c r="E211" i="12" s="1"/>
  <c r="F211" i="12" s="1"/>
  <c r="E212" i="12" s="1"/>
  <c r="F212" i="12" s="1"/>
  <c r="E213" i="12" s="1"/>
  <c r="F213" i="12" s="1"/>
  <c r="E214" i="12" s="1"/>
  <c r="F214" i="12" s="1"/>
  <c r="E215" i="12" s="1"/>
  <c r="F215" i="12" s="1"/>
  <c r="E216" i="12" s="1"/>
  <c r="F216" i="12" s="1"/>
  <c r="E217" i="12" s="1"/>
  <c r="F217" i="12" s="1"/>
  <c r="E218" i="12" s="1"/>
  <c r="F218" i="12" s="1"/>
  <c r="E219" i="12" s="1"/>
  <c r="F219" i="12" s="1"/>
  <c r="E220" i="12" s="1"/>
  <c r="F220" i="12" s="1"/>
  <c r="E221" i="12" s="1"/>
  <c r="F221" i="12" s="1"/>
  <c r="E222" i="12" s="1"/>
  <c r="F222" i="12" s="1"/>
  <c r="E223" i="12" s="1"/>
  <c r="F223" i="12" s="1"/>
  <c r="E224" i="12" s="1"/>
  <c r="F224" i="12" s="1"/>
  <c r="E225" i="12" s="1"/>
  <c r="F225" i="12" s="1"/>
  <c r="E226" i="12" s="1"/>
  <c r="F226" i="12" s="1"/>
  <c r="E227" i="12" s="1"/>
  <c r="F227" i="12" s="1"/>
  <c r="E228" i="12" s="1"/>
  <c r="F228" i="12" s="1"/>
  <c r="E229" i="12" s="1"/>
  <c r="F229" i="12" s="1"/>
  <c r="E230" i="12" s="1"/>
  <c r="F230" i="12" s="1"/>
  <c r="E231" i="12" s="1"/>
  <c r="F231" i="12" s="1"/>
  <c r="E232" i="12" s="1"/>
  <c r="F232" i="12" s="1"/>
  <c r="E233" i="12" s="1"/>
  <c r="F233" i="12" s="1"/>
  <c r="E234" i="12" s="1"/>
  <c r="F234" i="12" s="1"/>
  <c r="E235" i="12" s="1"/>
  <c r="F235" i="12" s="1"/>
  <c r="E236" i="12" s="1"/>
  <c r="F236" i="12" s="1"/>
  <c r="E237" i="12" s="1"/>
  <c r="F237" i="12" s="1"/>
  <c r="E238" i="12" s="1"/>
  <c r="F238" i="12" s="1"/>
  <c r="E239" i="12" s="1"/>
  <c r="F239" i="12" s="1"/>
  <c r="E240" i="12" s="1"/>
  <c r="F240" i="12" s="1"/>
  <c r="E241" i="12" s="1"/>
  <c r="F241" i="12" s="1"/>
  <c r="E242" i="12" s="1"/>
  <c r="F242" i="12" s="1"/>
  <c r="E243" i="12" s="1"/>
  <c r="F243" i="12" s="1"/>
  <c r="E244" i="12" s="1"/>
  <c r="F244" i="12" s="1"/>
  <c r="E245" i="12" s="1"/>
  <c r="F245" i="12" s="1"/>
  <c r="E246" i="12" s="1"/>
  <c r="F246" i="12" s="1"/>
  <c r="E247" i="12" s="1"/>
  <c r="F247" i="12" s="1"/>
  <c r="E248" i="12" s="1"/>
  <c r="F248" i="12" s="1"/>
  <c r="E249" i="12" s="1"/>
  <c r="F249" i="12" s="1"/>
  <c r="E250" i="12" s="1"/>
  <c r="F250" i="12" s="1"/>
  <c r="E251" i="12" s="1"/>
  <c r="F251" i="12" s="1"/>
  <c r="E252" i="12" s="1"/>
  <c r="F252" i="12" s="1"/>
  <c r="E253" i="12" s="1"/>
  <c r="F253" i="12" s="1"/>
  <c r="E254" i="12" s="1"/>
  <c r="F254" i="12" s="1"/>
  <c r="E255" i="12" s="1"/>
  <c r="F255" i="12" s="1"/>
  <c r="E256" i="12" s="1"/>
  <c r="F256" i="12" s="1"/>
  <c r="E257" i="12" s="1"/>
  <c r="F257" i="12" s="1"/>
  <c r="E258" i="12" s="1"/>
  <c r="F258" i="12" s="1"/>
  <c r="E259" i="12" s="1"/>
  <c r="F259" i="12" s="1"/>
  <c r="E260" i="12" s="1"/>
  <c r="F260" i="12" s="1"/>
  <c r="E261" i="12" s="1"/>
  <c r="F261" i="12" s="1"/>
  <c r="E262" i="12" s="1"/>
  <c r="F262" i="12" s="1"/>
  <c r="E263" i="12" s="1"/>
  <c r="F263" i="12" s="1"/>
  <c r="E264" i="12" s="1"/>
  <c r="F264" i="12" s="1"/>
  <c r="E265" i="12" s="1"/>
  <c r="F265" i="12" s="1"/>
  <c r="E266" i="12" s="1"/>
  <c r="F266" i="12" s="1"/>
  <c r="E267" i="12" s="1"/>
  <c r="F267" i="12" s="1"/>
  <c r="E268" i="12" s="1"/>
  <c r="F268" i="12" s="1"/>
  <c r="E269" i="12" s="1"/>
  <c r="F269" i="12" s="1"/>
  <c r="E270" i="12" s="1"/>
  <c r="F270" i="12" s="1"/>
  <c r="E271" i="12" s="1"/>
  <c r="F271" i="12" s="1"/>
  <c r="E272" i="12" s="1"/>
  <c r="F272" i="12" s="1"/>
  <c r="E273" i="12" s="1"/>
  <c r="F273" i="12" s="1"/>
  <c r="E274" i="12" s="1"/>
  <c r="F274" i="12" s="1"/>
  <c r="E275" i="12" s="1"/>
  <c r="F275" i="12" s="1"/>
  <c r="E276" i="12" s="1"/>
  <c r="F276" i="12" s="1"/>
  <c r="E277" i="12" s="1"/>
  <c r="F277" i="12" s="1"/>
  <c r="E278" i="12" s="1"/>
  <c r="F278" i="12" s="1"/>
  <c r="E279" i="12" s="1"/>
  <c r="F279" i="12" s="1"/>
  <c r="E280" i="12" s="1"/>
  <c r="F280" i="12" s="1"/>
  <c r="E281" i="12" s="1"/>
  <c r="F281" i="12" s="1"/>
  <c r="E282" i="12" s="1"/>
  <c r="F282" i="12" s="1"/>
  <c r="E283" i="12" s="1"/>
  <c r="F283" i="12" s="1"/>
  <c r="E284" i="12" s="1"/>
  <c r="F284" i="12" s="1"/>
  <c r="E285" i="12" s="1"/>
  <c r="F285" i="12" s="1"/>
  <c r="E286" i="12" s="1"/>
  <c r="F286" i="12" s="1"/>
  <c r="E287" i="12" s="1"/>
  <c r="F287" i="12" s="1"/>
  <c r="E288" i="12" s="1"/>
  <c r="F288" i="12" s="1"/>
  <c r="E289" i="12" s="1"/>
  <c r="F289" i="12" s="1"/>
  <c r="E290" i="12" s="1"/>
  <c r="F290" i="12" s="1"/>
  <c r="E291" i="12" s="1"/>
  <c r="F291" i="12" s="1"/>
  <c r="E292" i="12" s="1"/>
  <c r="F292" i="12" s="1"/>
  <c r="E293" i="12" s="1"/>
  <c r="F293" i="12" s="1"/>
  <c r="E294" i="12" s="1"/>
  <c r="F294" i="12" s="1"/>
  <c r="E295" i="12" s="1"/>
  <c r="F295" i="12" s="1"/>
  <c r="E296" i="12" s="1"/>
  <c r="F296" i="12" s="1"/>
  <c r="E297" i="12" s="1"/>
  <c r="F297" i="12" s="1"/>
  <c r="E298" i="12" s="1"/>
  <c r="F298" i="12" s="1"/>
  <c r="E299" i="12" s="1"/>
  <c r="F299" i="12" s="1"/>
  <c r="E300" i="12" s="1"/>
  <c r="F300" i="12" s="1"/>
  <c r="E301" i="12" s="1"/>
  <c r="F301" i="12" s="1"/>
  <c r="E302" i="12" s="1"/>
  <c r="F302" i="12" s="1"/>
  <c r="E303" i="12" s="1"/>
  <c r="F303" i="12" s="1"/>
  <c r="E304" i="12" s="1"/>
  <c r="F304" i="12" s="1"/>
  <c r="E305" i="12" s="1"/>
  <c r="F305" i="12" s="1"/>
  <c r="E306" i="12" s="1"/>
  <c r="F306" i="12" s="1"/>
  <c r="E307" i="12" s="1"/>
  <c r="F307" i="12" s="1"/>
  <c r="E308" i="12" s="1"/>
  <c r="F308" i="12" s="1"/>
  <c r="E309" i="12" s="1"/>
  <c r="F309" i="12" s="1"/>
  <c r="E310" i="12" s="1"/>
  <c r="F310" i="12" s="1"/>
  <c r="E311" i="12" s="1"/>
  <c r="F311" i="12" s="1"/>
  <c r="E312" i="12" s="1"/>
  <c r="F312" i="12" s="1"/>
  <c r="E313" i="12" s="1"/>
  <c r="F313" i="12" s="1"/>
  <c r="E314" i="12" s="1"/>
  <c r="F314" i="12" s="1"/>
  <c r="E315" i="12" s="1"/>
  <c r="F315" i="12" s="1"/>
  <c r="E316" i="12" s="1"/>
  <c r="F316" i="12" s="1"/>
  <c r="E317" i="12" s="1"/>
  <c r="F317" i="12" s="1"/>
  <c r="E318" i="12" s="1"/>
  <c r="F318" i="12" s="1"/>
  <c r="E319" i="12" s="1"/>
  <c r="F319" i="12" s="1"/>
  <c r="E320" i="12" s="1"/>
  <c r="F320" i="12" s="1"/>
  <c r="E321" i="12" s="1"/>
  <c r="F321" i="12" s="1"/>
  <c r="E322" i="12" s="1"/>
  <c r="F322" i="12" s="1"/>
  <c r="E323" i="12" s="1"/>
  <c r="F323" i="12" s="1"/>
  <c r="E324" i="12" s="1"/>
  <c r="F324" i="12" s="1"/>
  <c r="E325" i="12" s="1"/>
  <c r="F325" i="12" s="1"/>
  <c r="E326" i="12" s="1"/>
  <c r="F326" i="12" s="1"/>
  <c r="E327" i="12" s="1"/>
  <c r="F327" i="12" s="1"/>
  <c r="E328" i="12" s="1"/>
  <c r="F328" i="12" s="1"/>
  <c r="E329" i="12" s="1"/>
  <c r="F329" i="12" s="1"/>
  <c r="E330" i="12" s="1"/>
  <c r="F330" i="12" s="1"/>
  <c r="E331" i="12" s="1"/>
  <c r="F331" i="12" s="1"/>
  <c r="E332" i="12" s="1"/>
  <c r="F332" i="12" s="1"/>
  <c r="E333" i="12" s="1"/>
  <c r="F333" i="12" s="1"/>
  <c r="E334" i="12" s="1"/>
  <c r="F334" i="12" s="1"/>
  <c r="E335" i="12" s="1"/>
  <c r="F335" i="12" s="1"/>
  <c r="E336" i="12" s="1"/>
  <c r="F336" i="12" s="1"/>
  <c r="E337" i="12" s="1"/>
  <c r="F337" i="12" s="1"/>
  <c r="E338" i="12" s="1"/>
  <c r="F338" i="12" s="1"/>
  <c r="E339" i="12" s="1"/>
  <c r="F339" i="12" s="1"/>
  <c r="E340" i="12" s="1"/>
  <c r="F340" i="12" s="1"/>
  <c r="E341" i="12" s="1"/>
  <c r="F341" i="12" s="1"/>
  <c r="E342" i="12" s="1"/>
  <c r="F342" i="12" s="1"/>
  <c r="E343" i="12" s="1"/>
  <c r="F343" i="12" s="1"/>
  <c r="E344" i="12" s="1"/>
  <c r="F344" i="12" s="1"/>
  <c r="E345" i="12" s="1"/>
  <c r="F345" i="12" s="1"/>
  <c r="E346" i="12" s="1"/>
  <c r="F346" i="12" s="1"/>
  <c r="E347" i="12" s="1"/>
  <c r="F347" i="12" s="1"/>
  <c r="E348" i="12" s="1"/>
  <c r="F348" i="12" s="1"/>
  <c r="E349" i="12" s="1"/>
  <c r="F349" i="12" s="1"/>
  <c r="E350" i="12" s="1"/>
  <c r="F350" i="12" s="1"/>
  <c r="E351" i="12" s="1"/>
  <c r="F351" i="12" s="1"/>
  <c r="E352" i="12" s="1"/>
  <c r="F352" i="12" s="1"/>
  <c r="E353" i="12" s="1"/>
  <c r="F353" i="12" s="1"/>
  <c r="E354" i="12" s="1"/>
  <c r="F354" i="12" s="1"/>
  <c r="E355" i="12" s="1"/>
  <c r="F355" i="12" s="1"/>
  <c r="E356" i="12" s="1"/>
  <c r="F356" i="12" s="1"/>
  <c r="E357" i="12" s="1"/>
  <c r="F357" i="12" s="1"/>
  <c r="E358" i="12" s="1"/>
  <c r="F358" i="12" s="1"/>
  <c r="E359" i="12" s="1"/>
  <c r="F359" i="12" s="1"/>
  <c r="E360" i="12" s="1"/>
  <c r="F360" i="12" s="1"/>
  <c r="E361" i="12" s="1"/>
  <c r="F361" i="12" s="1"/>
  <c r="E362" i="12" s="1"/>
  <c r="F362" i="12" s="1"/>
  <c r="E363" i="12" s="1"/>
  <c r="F363" i="12" s="1"/>
  <c r="E364" i="12" s="1"/>
  <c r="F364" i="12" s="1"/>
  <c r="E365" i="12" s="1"/>
  <c r="F365" i="12" s="1"/>
  <c r="E366" i="12" s="1"/>
  <c r="F366" i="12" s="1"/>
  <c r="E367" i="12" s="1"/>
  <c r="F367" i="12" s="1"/>
  <c r="E368" i="12" s="1"/>
  <c r="F368" i="12" s="1"/>
  <c r="E369" i="12" s="1"/>
  <c r="F369" i="12" s="1"/>
  <c r="E370" i="12" s="1"/>
  <c r="F370" i="12" s="1"/>
  <c r="E371" i="12" s="1"/>
  <c r="F371" i="12" s="1"/>
  <c r="E372" i="12" s="1"/>
  <c r="F372" i="12" s="1"/>
  <c r="E373" i="12" s="1"/>
  <c r="F373" i="12" s="1"/>
  <c r="E374" i="12" s="1"/>
  <c r="F374" i="12" s="1"/>
  <c r="E375" i="12" s="1"/>
  <c r="F375" i="12" s="1"/>
  <c r="E376" i="12" s="1"/>
  <c r="F376" i="12" s="1"/>
  <c r="E377" i="12" s="1"/>
  <c r="F377" i="12" s="1"/>
  <c r="E378" i="12" s="1"/>
  <c r="F378" i="12" s="1"/>
  <c r="E379" i="12" s="1"/>
  <c r="F379" i="12" s="1"/>
  <c r="E380" i="12" s="1"/>
  <c r="F380" i="12" s="1"/>
  <c r="E381" i="12" s="1"/>
  <c r="F381" i="12" s="1"/>
  <c r="E382" i="12" s="1"/>
  <c r="F382" i="12" s="1"/>
  <c r="E383" i="12" s="1"/>
  <c r="F383" i="12" s="1"/>
  <c r="E384" i="12" s="1"/>
  <c r="F384" i="12" s="1"/>
  <c r="E385" i="12" s="1"/>
  <c r="F385" i="12" s="1"/>
  <c r="E386" i="12" s="1"/>
  <c r="F386" i="12" s="1"/>
  <c r="E387" i="12" s="1"/>
  <c r="F387" i="12" s="1"/>
  <c r="E388" i="12" s="1"/>
  <c r="F388" i="12" s="1"/>
  <c r="E389" i="12" s="1"/>
  <c r="F389" i="12" s="1"/>
  <c r="E390" i="12" s="1"/>
  <c r="F390" i="12" s="1"/>
  <c r="E391" i="12" s="1"/>
  <c r="F391" i="12" s="1"/>
  <c r="E392" i="12" s="1"/>
  <c r="F392" i="12" s="1"/>
  <c r="E393" i="12" s="1"/>
  <c r="F393" i="12" s="1"/>
  <c r="E394" i="12" s="1"/>
  <c r="F394" i="12" s="1"/>
  <c r="E395" i="12" s="1"/>
  <c r="F395" i="12" s="1"/>
  <c r="E396" i="12" s="1"/>
  <c r="F396" i="12" s="1"/>
  <c r="E397" i="12" s="1"/>
  <c r="F397" i="12" s="1"/>
  <c r="E398" i="12" s="1"/>
  <c r="F398" i="12" s="1"/>
  <c r="E399" i="12" s="1"/>
  <c r="F399" i="12" s="1"/>
  <c r="E400" i="12" s="1"/>
  <c r="F400" i="12" s="1"/>
  <c r="E401" i="12" s="1"/>
  <c r="F401" i="12" s="1"/>
  <c r="E402" i="12" s="1"/>
  <c r="F402" i="12" s="1"/>
  <c r="E403" i="12" s="1"/>
  <c r="F403" i="12" s="1"/>
  <c r="E404" i="12" s="1"/>
  <c r="F404" i="12" s="1"/>
  <c r="E405" i="12" s="1"/>
  <c r="F405" i="12" s="1"/>
  <c r="E406" i="12" s="1"/>
  <c r="F406" i="12" s="1"/>
  <c r="E407" i="12" s="1"/>
  <c r="F407" i="12" s="1"/>
  <c r="E408" i="12" s="1"/>
  <c r="F408" i="12" s="1"/>
  <c r="E409" i="12" s="1"/>
  <c r="F409" i="12" s="1"/>
  <c r="E410" i="12" s="1"/>
  <c r="F410" i="12" s="1"/>
  <c r="E411" i="12" s="1"/>
  <c r="F411" i="12" s="1"/>
  <c r="E412" i="12" s="1"/>
  <c r="F412" i="12" s="1"/>
  <c r="E413" i="12" s="1"/>
  <c r="F413" i="12" s="1"/>
  <c r="E414" i="12" s="1"/>
  <c r="F414" i="12" s="1"/>
  <c r="E415" i="12" s="1"/>
  <c r="F415" i="12" s="1"/>
  <c r="E416" i="12" s="1"/>
  <c r="F416" i="12" s="1"/>
  <c r="E417" i="12" s="1"/>
  <c r="F417" i="12" s="1"/>
  <c r="E418" i="12" s="1"/>
  <c r="F418" i="12" s="1"/>
  <c r="E419" i="12" s="1"/>
  <c r="F419" i="12" s="1"/>
  <c r="E420" i="12" s="1"/>
  <c r="F420" i="12" s="1"/>
  <c r="E421" i="12" s="1"/>
  <c r="F421" i="12" s="1"/>
  <c r="E422" i="12" s="1"/>
  <c r="F422" i="12" s="1"/>
  <c r="E423" i="12" s="1"/>
  <c r="F423" i="12" s="1"/>
  <c r="E424" i="12" s="1"/>
  <c r="F424" i="12" s="1"/>
  <c r="E425" i="12" s="1"/>
  <c r="F425" i="12" s="1"/>
  <c r="E426" i="12" s="1"/>
  <c r="F426" i="12" s="1"/>
  <c r="E427" i="12" s="1"/>
  <c r="F427" i="12" s="1"/>
  <c r="E428" i="12" s="1"/>
  <c r="F428" i="12" s="1"/>
  <c r="E429" i="12" s="1"/>
  <c r="F429" i="12" s="1"/>
  <c r="E430" i="12" s="1"/>
  <c r="F430" i="12" s="1"/>
  <c r="E431" i="12" s="1"/>
  <c r="F431" i="12" s="1"/>
  <c r="E432" i="12" s="1"/>
  <c r="F432" i="12" s="1"/>
  <c r="E433" i="12" s="1"/>
  <c r="F433" i="12" s="1"/>
  <c r="E434" i="12" s="1"/>
  <c r="F434" i="12" s="1"/>
  <c r="E435" i="12" s="1"/>
  <c r="F435" i="12" s="1"/>
  <c r="E436" i="12" s="1"/>
  <c r="F436" i="12" s="1"/>
  <c r="E437" i="12" s="1"/>
  <c r="F437" i="12" s="1"/>
  <c r="E438" i="12" s="1"/>
  <c r="F438" i="12" s="1"/>
  <c r="E439" i="12" s="1"/>
  <c r="F439" i="12" s="1"/>
  <c r="E440" i="12" s="1"/>
  <c r="F440" i="12" s="1"/>
  <c r="E441" i="12" s="1"/>
  <c r="F441" i="12" s="1"/>
  <c r="E442" i="12" s="1"/>
  <c r="F442" i="12" s="1"/>
  <c r="E443" i="12" s="1"/>
  <c r="F443" i="12" s="1"/>
  <c r="E444" i="12" s="1"/>
  <c r="F444" i="12" s="1"/>
  <c r="E445" i="12" s="1"/>
  <c r="F445" i="12" s="1"/>
  <c r="E446" i="12" s="1"/>
  <c r="F446" i="12" s="1"/>
  <c r="E447" i="12" s="1"/>
  <c r="F447" i="12" s="1"/>
  <c r="E448" i="12" s="1"/>
  <c r="F448" i="12" s="1"/>
  <c r="E449" i="12" s="1"/>
  <c r="F449" i="12" s="1"/>
  <c r="E450" i="12" s="1"/>
  <c r="F450" i="12" s="1"/>
  <c r="E451" i="12" s="1"/>
  <c r="F451" i="12" s="1"/>
  <c r="E452" i="12" s="1"/>
  <c r="F452" i="12" s="1"/>
  <c r="E453" i="12" s="1"/>
  <c r="F453" i="12" s="1"/>
  <c r="E454" i="12" s="1"/>
  <c r="F454" i="12" s="1"/>
  <c r="E455" i="12" s="1"/>
  <c r="F455" i="12" s="1"/>
  <c r="E456" i="12" s="1"/>
  <c r="F456" i="12" s="1"/>
  <c r="E457" i="12" s="1"/>
  <c r="F457" i="12" s="1"/>
  <c r="E458" i="12" s="1"/>
  <c r="F458" i="12" s="1"/>
  <c r="E459" i="12" s="1"/>
  <c r="F459" i="12" s="1"/>
  <c r="E460" i="12" s="1"/>
  <c r="F460" i="12" s="1"/>
  <c r="E461" i="12" s="1"/>
  <c r="F461" i="12" s="1"/>
  <c r="E462" i="12" s="1"/>
  <c r="F462" i="12" s="1"/>
  <c r="E463" i="12" s="1"/>
  <c r="F463" i="12" s="1"/>
  <c r="E464" i="12" s="1"/>
  <c r="F464" i="12" s="1"/>
  <c r="E465" i="12" s="1"/>
  <c r="F465" i="12" s="1"/>
  <c r="E466" i="12" s="1"/>
  <c r="F466" i="12" s="1"/>
  <c r="E467" i="12" s="1"/>
  <c r="F467" i="12" s="1"/>
  <c r="E468" i="12" s="1"/>
  <c r="F468" i="12" s="1"/>
  <c r="E469" i="12" s="1"/>
  <c r="F469" i="12" s="1"/>
  <c r="E470" i="12" s="1"/>
  <c r="F470" i="12" s="1"/>
  <c r="E471" i="12" s="1"/>
  <c r="F471" i="12" s="1"/>
  <c r="E472" i="12" s="1"/>
  <c r="F472" i="12" s="1"/>
  <c r="E473" i="12" s="1"/>
  <c r="F473" i="12" s="1"/>
  <c r="E474" i="12" s="1"/>
  <c r="F474" i="12" s="1"/>
  <c r="E475" i="12" s="1"/>
  <c r="F475" i="12" s="1"/>
  <c r="E476" i="12" s="1"/>
  <c r="F476" i="12" s="1"/>
  <c r="E477" i="12" s="1"/>
  <c r="F477" i="12" s="1"/>
  <c r="E478" i="12" s="1"/>
  <c r="F478" i="12" s="1"/>
  <c r="E479" i="12" s="1"/>
  <c r="F479" i="12" s="1"/>
  <c r="E480" i="12" s="1"/>
  <c r="F480" i="12" s="1"/>
  <c r="E481" i="12" s="1"/>
  <c r="F481" i="12" s="1"/>
  <c r="E482" i="12" s="1"/>
  <c r="F482" i="12" s="1"/>
  <c r="E483" i="12" s="1"/>
  <c r="F483" i="12" s="1"/>
  <c r="E484" i="12" s="1"/>
  <c r="F484" i="12" s="1"/>
  <c r="E485" i="12" s="1"/>
  <c r="F485" i="12" s="1"/>
  <c r="E486" i="12" s="1"/>
  <c r="F486" i="12" s="1"/>
  <c r="E487" i="12" s="1"/>
  <c r="F487" i="12" s="1"/>
  <c r="E488" i="12" s="1"/>
  <c r="F488" i="12" s="1"/>
  <c r="E489" i="12" s="1"/>
  <c r="F489" i="12" s="1"/>
  <c r="E490" i="12" s="1"/>
  <c r="F490" i="12" s="1"/>
  <c r="E491" i="12" s="1"/>
  <c r="F491" i="12" s="1"/>
  <c r="E492" i="12" s="1"/>
  <c r="F492" i="12" s="1"/>
  <c r="E493" i="12" s="1"/>
  <c r="F493" i="12" s="1"/>
  <c r="E494" i="12" s="1"/>
  <c r="F494" i="12" s="1"/>
  <c r="E495" i="12" s="1"/>
  <c r="F495" i="12" s="1"/>
  <c r="E496" i="12" s="1"/>
  <c r="F496" i="12" s="1"/>
  <c r="E497" i="12" s="1"/>
  <c r="F497" i="12" s="1"/>
  <c r="E498" i="12" s="1"/>
  <c r="F498" i="12" s="1"/>
  <c r="E499" i="12" s="1"/>
  <c r="F499" i="12" s="1"/>
  <c r="E500" i="12" s="1"/>
  <c r="F500" i="12" s="1"/>
  <c r="E501" i="12" s="1"/>
  <c r="F501" i="12" s="1"/>
  <c r="E502" i="12" s="1"/>
  <c r="F502" i="12" s="1"/>
  <c r="E503" i="12" s="1"/>
  <c r="F503" i="12" s="1"/>
  <c r="E504" i="12" s="1"/>
  <c r="F504" i="12" s="1"/>
  <c r="E505" i="12" s="1"/>
  <c r="F505" i="12" s="1"/>
  <c r="E506" i="12" s="1"/>
  <c r="F506" i="12" s="1"/>
  <c r="E507" i="12" s="1"/>
  <c r="F507" i="12" s="1"/>
  <c r="E508" i="12" s="1"/>
  <c r="F508" i="12" s="1"/>
  <c r="E509" i="12" s="1"/>
  <c r="F509" i="12" s="1"/>
  <c r="E510" i="12" s="1"/>
  <c r="F510" i="12" s="1"/>
  <c r="E511" i="12" s="1"/>
  <c r="F511" i="12" s="1"/>
  <c r="E512" i="12" s="1"/>
  <c r="F512" i="12" s="1"/>
  <c r="E513" i="12" s="1"/>
  <c r="F513" i="12" s="1"/>
  <c r="E514" i="12" s="1"/>
  <c r="F514" i="12" s="1"/>
  <c r="E515" i="12" s="1"/>
  <c r="F515" i="12" s="1"/>
  <c r="E516" i="12" s="1"/>
  <c r="F516" i="12" s="1"/>
  <c r="E517" i="12" s="1"/>
  <c r="F517" i="12" s="1"/>
  <c r="E518" i="12" s="1"/>
  <c r="F518" i="12" s="1"/>
  <c r="E519" i="12" s="1"/>
  <c r="F519" i="12" s="1"/>
  <c r="E520" i="12" s="1"/>
  <c r="F520" i="12" s="1"/>
  <c r="E521" i="12" s="1"/>
  <c r="F521" i="12" s="1"/>
  <c r="E522" i="12" s="1"/>
  <c r="F522" i="12" s="1"/>
  <c r="E523" i="12" s="1"/>
  <c r="F523" i="12" s="1"/>
  <c r="E524" i="12" s="1"/>
  <c r="F524" i="12" s="1"/>
  <c r="E525" i="12" s="1"/>
  <c r="F525" i="12" s="1"/>
  <c r="E526" i="12" s="1"/>
  <c r="F526" i="12" s="1"/>
  <c r="E527" i="12" s="1"/>
  <c r="F527" i="12" s="1"/>
  <c r="E528" i="12" s="1"/>
  <c r="F528" i="12" s="1"/>
  <c r="E529" i="12" s="1"/>
  <c r="F529" i="12" s="1"/>
  <c r="E530" i="12" s="1"/>
  <c r="F530" i="12" s="1"/>
  <c r="E531" i="12" s="1"/>
  <c r="F531" i="12" s="1"/>
  <c r="E532" i="12" s="1"/>
  <c r="F532" i="12" s="1"/>
  <c r="E533" i="12" s="1"/>
  <c r="F533" i="12" s="1"/>
  <c r="E534" i="12" s="1"/>
  <c r="F534" i="12" s="1"/>
  <c r="E535" i="12" s="1"/>
  <c r="F535" i="12" s="1"/>
  <c r="E536" i="12" s="1"/>
  <c r="F536" i="12" s="1"/>
  <c r="E537" i="12" s="1"/>
  <c r="F537" i="12" s="1"/>
  <c r="E538" i="12" s="1"/>
  <c r="F538" i="12" s="1"/>
  <c r="E539" i="12" s="1"/>
  <c r="F539" i="12" s="1"/>
  <c r="E540" i="12" s="1"/>
  <c r="F540" i="12" s="1"/>
  <c r="E541" i="12" s="1"/>
  <c r="F541" i="12" s="1"/>
  <c r="E542" i="12" s="1"/>
  <c r="F542" i="12" s="1"/>
  <c r="E543" i="12" s="1"/>
  <c r="F543" i="12" s="1"/>
  <c r="E544" i="12" s="1"/>
  <c r="F544" i="12" s="1"/>
  <c r="E545" i="12" s="1"/>
  <c r="F545" i="12" s="1"/>
  <c r="E546" i="12" s="1"/>
  <c r="F546" i="12" s="1"/>
  <c r="E547" i="12" s="1"/>
  <c r="F547" i="12" s="1"/>
  <c r="E548" i="12" s="1"/>
  <c r="F548" i="12" s="1"/>
  <c r="E549" i="12" s="1"/>
  <c r="F549" i="12" s="1"/>
  <c r="E550" i="12" s="1"/>
  <c r="F550" i="12" s="1"/>
  <c r="E551" i="12" s="1"/>
  <c r="F551" i="12" s="1"/>
  <c r="E552" i="12" s="1"/>
  <c r="F552" i="12" s="1"/>
  <c r="E553" i="12" s="1"/>
  <c r="F553" i="12" s="1"/>
  <c r="E554" i="12" s="1"/>
  <c r="F554" i="12" s="1"/>
  <c r="E555" i="12" s="1"/>
  <c r="F555" i="12" s="1"/>
  <c r="E556" i="12" s="1"/>
  <c r="F556" i="12" s="1"/>
  <c r="E557" i="12" s="1"/>
  <c r="F557" i="12" s="1"/>
  <c r="E558" i="12" s="1"/>
  <c r="F558" i="12" s="1"/>
  <c r="E559" i="12" s="1"/>
  <c r="F559" i="12" s="1"/>
  <c r="E560" i="12" s="1"/>
  <c r="F560" i="12" s="1"/>
  <c r="E561" i="12" s="1"/>
  <c r="F561" i="12" s="1"/>
  <c r="E562" i="12" s="1"/>
  <c r="F562" i="12" s="1"/>
  <c r="E563" i="12" s="1"/>
  <c r="F563" i="12" s="1"/>
  <c r="E564" i="12" s="1"/>
  <c r="F564" i="12" s="1"/>
  <c r="E565" i="12" s="1"/>
  <c r="F565" i="12" s="1"/>
  <c r="E566" i="12" s="1"/>
  <c r="F566" i="12" s="1"/>
  <c r="E567" i="12" s="1"/>
  <c r="F567" i="12" s="1"/>
  <c r="E568" i="12" s="1"/>
  <c r="F568" i="12" s="1"/>
  <c r="E569" i="12" s="1"/>
  <c r="F569" i="12" s="1"/>
  <c r="E570" i="12" s="1"/>
  <c r="F570" i="12" s="1"/>
  <c r="E571" i="12" s="1"/>
  <c r="F571" i="12" s="1"/>
  <c r="E572" i="12" s="1"/>
  <c r="F572" i="12" s="1"/>
  <c r="E573" i="12" s="1"/>
  <c r="F573" i="12" s="1"/>
  <c r="E574" i="12" s="1"/>
  <c r="F574" i="12" s="1"/>
  <c r="E575" i="12" s="1"/>
  <c r="F575" i="12" s="1"/>
  <c r="E576" i="12" s="1"/>
  <c r="F576" i="12" s="1"/>
  <c r="E577" i="12" s="1"/>
  <c r="F577" i="12" s="1"/>
  <c r="E578" i="12" s="1"/>
  <c r="F578" i="12" s="1"/>
  <c r="B121" i="4"/>
  <c r="C13" i="10"/>
  <c r="E7" i="9"/>
  <c r="I20" i="8"/>
  <c r="E27" i="7"/>
  <c r="D27" i="7"/>
  <c r="C27" i="7"/>
  <c r="G4" i="12" l="1"/>
  <c r="G5" i="12" s="1"/>
  <c r="H5" i="12" s="1"/>
  <c r="G6" i="12"/>
  <c r="H4" i="12"/>
  <c r="M14" i="8"/>
  <c r="G1" i="8" s="1"/>
  <c r="P10" i="8"/>
  <c r="B18" i="8"/>
  <c r="G7" i="12" l="1"/>
  <c r="H6" i="12"/>
  <c r="K8" i="1"/>
  <c r="C121" i="4"/>
  <c r="L5" i="2"/>
  <c r="G15" i="2"/>
  <c r="L10" i="2"/>
  <c r="I9" i="2"/>
  <c r="F9" i="2"/>
  <c r="C9" i="2"/>
  <c r="G13" i="2"/>
  <c r="G14" i="2" s="1"/>
  <c r="I12" i="2"/>
  <c r="J12" i="2"/>
  <c r="I11" i="2"/>
  <c r="A11" i="2"/>
  <c r="L11" i="2"/>
  <c r="I10" i="2"/>
  <c r="F10" i="2"/>
  <c r="C10" i="2"/>
  <c r="L9" i="2"/>
  <c r="I8" i="2"/>
  <c r="F8" i="2"/>
  <c r="C8" i="2"/>
  <c r="L8" i="2"/>
  <c r="I7" i="2"/>
  <c r="F7" i="2"/>
  <c r="C7" i="2"/>
  <c r="L7" i="2"/>
  <c r="I6" i="2"/>
  <c r="F6" i="2"/>
  <c r="C6" i="2"/>
  <c r="L6" i="2"/>
  <c r="I5" i="2"/>
  <c r="F5" i="2"/>
  <c r="C5" i="2"/>
  <c r="L4" i="2"/>
  <c r="I4" i="2"/>
  <c r="F4" i="2"/>
  <c r="C4" i="2"/>
  <c r="L3" i="2"/>
  <c r="I3" i="2"/>
  <c r="F3" i="2"/>
  <c r="C3" i="2"/>
  <c r="L2" i="2"/>
  <c r="I2" i="2"/>
  <c r="F2" i="2"/>
  <c r="C2" i="2"/>
  <c r="H7" i="12" l="1"/>
  <c r="G8" i="12"/>
  <c r="D121" i="4"/>
  <c r="L12" i="2"/>
  <c r="K12" i="2" s="1"/>
  <c r="C11" i="2"/>
  <c r="B11" i="2" s="1"/>
  <c r="H14" i="2" s="1"/>
  <c r="I14" i="2" s="1"/>
  <c r="I13" i="2"/>
  <c r="H13" i="2" s="1"/>
  <c r="H15" i="2" s="1"/>
  <c r="I15" i="2" s="1"/>
  <c r="Q6" i="1"/>
  <c r="Q7" i="1"/>
  <c r="Q8" i="1"/>
  <c r="Q9" i="1"/>
  <c r="Q10" i="1"/>
  <c r="K3" i="1"/>
  <c r="K4" i="1"/>
  <c r="K5" i="1"/>
  <c r="K6" i="1"/>
  <c r="K7" i="1"/>
  <c r="K9" i="1"/>
  <c r="K10" i="1"/>
  <c r="K11" i="1"/>
  <c r="K2" i="1"/>
  <c r="B11" i="1"/>
  <c r="D10" i="1"/>
  <c r="D9" i="1"/>
  <c r="E9" i="1" s="1"/>
  <c r="D8" i="1"/>
  <c r="D7" i="1"/>
  <c r="F7" i="1" s="1"/>
  <c r="D6" i="1"/>
  <c r="D5" i="1"/>
  <c r="F5" i="1" s="1"/>
  <c r="H5" i="1" s="1"/>
  <c r="V4" i="1"/>
  <c r="T3" i="1" s="1"/>
  <c r="T4" i="1" s="1"/>
  <c r="D4" i="1"/>
  <c r="E4" i="1" s="1"/>
  <c r="D3" i="1"/>
  <c r="F3" i="1" s="1"/>
  <c r="D2" i="1"/>
  <c r="W1" i="1"/>
  <c r="X1" i="1" s="1"/>
  <c r="Y1" i="1" s="1"/>
  <c r="H8" i="12" l="1"/>
  <c r="G9" i="12"/>
  <c r="L3" i="1"/>
  <c r="N3" i="1" s="1"/>
  <c r="E5" i="1"/>
  <c r="H7" i="1"/>
  <c r="L7" i="1"/>
  <c r="F9" i="1"/>
  <c r="E7" i="1"/>
  <c r="D11" i="1"/>
  <c r="T2" i="1" s="1"/>
  <c r="L5" i="1"/>
  <c r="G3" i="1"/>
  <c r="H3" i="1"/>
  <c r="E6" i="1"/>
  <c r="E8" i="1"/>
  <c r="E10" i="1"/>
  <c r="G5" i="1"/>
  <c r="F6" i="1"/>
  <c r="F8" i="1"/>
  <c r="F10" i="1"/>
  <c r="E2" i="1"/>
  <c r="H9" i="1"/>
  <c r="F4" i="1"/>
  <c r="E3" i="1"/>
  <c r="G7" i="1"/>
  <c r="F2" i="1"/>
  <c r="L2" i="1" s="1"/>
  <c r="M2" i="1" s="1"/>
  <c r="O2" i="1" s="1"/>
  <c r="G10" i="12" l="1"/>
  <c r="H9" i="12"/>
  <c r="I5" i="1"/>
  <c r="M3" i="1"/>
  <c r="O3" i="1" s="1"/>
  <c r="N5" i="1"/>
  <c r="M5" i="1"/>
  <c r="O5" i="1" s="1"/>
  <c r="N7" i="1"/>
  <c r="P4" i="1" s="1"/>
  <c r="Q4" i="1" s="1"/>
  <c r="M7" i="1"/>
  <c r="O7" i="1" s="1"/>
  <c r="H2" i="1"/>
  <c r="G6" i="1"/>
  <c r="I6" i="1" s="1"/>
  <c r="L6" i="1"/>
  <c r="G10" i="1"/>
  <c r="I10" i="1" s="1"/>
  <c r="L10" i="1"/>
  <c r="G8" i="1"/>
  <c r="I8" i="1" s="1"/>
  <c r="L8" i="1"/>
  <c r="N2" i="1"/>
  <c r="H10" i="1"/>
  <c r="G4" i="1"/>
  <c r="I4" i="1" s="1"/>
  <c r="L4" i="1"/>
  <c r="G9" i="1"/>
  <c r="I9" i="1" s="1"/>
  <c r="L9" i="1"/>
  <c r="I7" i="1"/>
  <c r="I3" i="1"/>
  <c r="H8" i="1"/>
  <c r="F11" i="1"/>
  <c r="G2" i="1"/>
  <c r="I2" i="1" s="1"/>
  <c r="E11" i="1"/>
  <c r="H4" i="1"/>
  <c r="H6" i="1"/>
  <c r="H10" i="12" l="1"/>
  <c r="G11" i="12"/>
  <c r="N6" i="1"/>
  <c r="M6" i="1"/>
  <c r="O6" i="1" s="1"/>
  <c r="N10" i="1"/>
  <c r="P5" i="1" s="1"/>
  <c r="Q5" i="1" s="1"/>
  <c r="M10" i="1"/>
  <c r="O10" i="1" s="1"/>
  <c r="N9" i="1"/>
  <c r="M9" i="1"/>
  <c r="O9" i="1" s="1"/>
  <c r="N8" i="1"/>
  <c r="M8" i="1"/>
  <c r="O8" i="1" s="1"/>
  <c r="N4" i="1"/>
  <c r="P3" i="1" s="1"/>
  <c r="Q3" i="1" s="1"/>
  <c r="M4" i="1"/>
  <c r="H11" i="1"/>
  <c r="I11" i="1"/>
  <c r="G11" i="1"/>
  <c r="P2" i="1"/>
  <c r="L11" i="1"/>
  <c r="M11" i="1" l="1"/>
  <c r="H11" i="12"/>
  <c r="G12" i="12"/>
  <c r="O4" i="1"/>
  <c r="O11" i="1" s="1"/>
  <c r="N11" i="1"/>
  <c r="Q2" i="1"/>
  <c r="Q11" i="1" s="1"/>
  <c r="P11" i="1"/>
  <c r="G13" i="12" l="1"/>
  <c r="H12" i="12"/>
  <c r="XFD13" i="10"/>
  <c r="G14" i="12" l="1"/>
  <c r="H13" i="12"/>
  <c r="H14" i="12" l="1"/>
  <c r="G15" i="12"/>
  <c r="H15" i="12" l="1"/>
  <c r="G16" i="12"/>
  <c r="G17" i="12" l="1"/>
  <c r="H16" i="12"/>
  <c r="H17" i="12" l="1"/>
  <c r="G18" i="12"/>
  <c r="H18" i="12" l="1"/>
  <c r="G19" i="12"/>
  <c r="H19" i="12" l="1"/>
  <c r="G20" i="12"/>
  <c r="H20" i="12" l="1"/>
  <c r="G21" i="12"/>
  <c r="H21" i="12" l="1"/>
  <c r="G22" i="12"/>
  <c r="H22" i="12" l="1"/>
  <c r="G23" i="12"/>
  <c r="H23" i="12" l="1"/>
  <c r="G24" i="12"/>
  <c r="G25" i="12" l="1"/>
  <c r="H24" i="12"/>
  <c r="H25" i="12" l="1"/>
  <c r="G26" i="12"/>
  <c r="H26" i="12" l="1"/>
  <c r="G27" i="12"/>
  <c r="G28" i="12" l="1"/>
  <c r="H27" i="12"/>
  <c r="H28" i="12" l="1"/>
  <c r="G29" i="12"/>
  <c r="H29" i="12" l="1"/>
  <c r="G30" i="12"/>
  <c r="G31" i="12" l="1"/>
  <c r="H30" i="12"/>
  <c r="G32" i="12" l="1"/>
  <c r="H31" i="12"/>
  <c r="H32" i="12" l="1"/>
  <c r="G33" i="12"/>
  <c r="H33" i="12" l="1"/>
  <c r="G34" i="12"/>
  <c r="G35" i="12" l="1"/>
  <c r="H34" i="12"/>
  <c r="H35" i="12" l="1"/>
  <c r="G36" i="12"/>
  <c r="H36" i="12" l="1"/>
  <c r="G37" i="12"/>
  <c r="G38" i="12" l="1"/>
  <c r="H37" i="12"/>
  <c r="H38" i="12" l="1"/>
  <c r="G39" i="12"/>
  <c r="H39" i="12" l="1"/>
  <c r="G40" i="12"/>
  <c r="G41" i="12" l="1"/>
  <c r="H40" i="12"/>
  <c r="H41" i="12" l="1"/>
  <c r="G42" i="12"/>
  <c r="G43" i="12" l="1"/>
  <c r="H42" i="12"/>
  <c r="H43" i="12" l="1"/>
  <c r="G44" i="12"/>
  <c r="H44" i="12" l="1"/>
  <c r="G45" i="12"/>
  <c r="G46" i="12" l="1"/>
  <c r="H45" i="12"/>
  <c r="G47" i="12" l="1"/>
  <c r="H46" i="12"/>
  <c r="H47" i="12" l="1"/>
  <c r="G48" i="12"/>
  <c r="H48" i="12" l="1"/>
  <c r="G49" i="12"/>
  <c r="G50" i="12" l="1"/>
  <c r="H49" i="12"/>
  <c r="H50" i="12" l="1"/>
  <c r="G51" i="12"/>
  <c r="H51" i="12" l="1"/>
  <c r="G52" i="12"/>
  <c r="G53" i="12" l="1"/>
  <c r="H52" i="12"/>
  <c r="H53" i="12" l="1"/>
  <c r="G54" i="12"/>
  <c r="G55" i="12" l="1"/>
  <c r="H54" i="12"/>
  <c r="G56" i="12" l="1"/>
  <c r="H55" i="12"/>
  <c r="H56" i="12" l="1"/>
  <c r="G57" i="12"/>
  <c r="G58" i="12" l="1"/>
  <c r="H57" i="12"/>
  <c r="G59" i="12" l="1"/>
  <c r="H58" i="12"/>
  <c r="H59" i="12" l="1"/>
  <c r="G60" i="12"/>
  <c r="G61" i="12" l="1"/>
  <c r="H60" i="12"/>
  <c r="G62" i="12" l="1"/>
  <c r="H61" i="12"/>
  <c r="H62" i="12" l="1"/>
  <c r="G63" i="12"/>
  <c r="H63" i="12" l="1"/>
  <c r="G64" i="12"/>
  <c r="G65" i="12" l="1"/>
  <c r="H64" i="12"/>
  <c r="H65" i="12" l="1"/>
  <c r="G66" i="12"/>
  <c r="G67" i="12" l="1"/>
  <c r="H66" i="12"/>
  <c r="G68" i="12" l="1"/>
  <c r="H67" i="12"/>
  <c r="H68" i="12" l="1"/>
  <c r="G69" i="12"/>
  <c r="G70" i="12" l="1"/>
  <c r="H69" i="12"/>
  <c r="G71" i="12" l="1"/>
  <c r="H70" i="12"/>
  <c r="H71" i="12" l="1"/>
  <c r="G72" i="12"/>
  <c r="G73" i="12" l="1"/>
  <c r="H72" i="12"/>
  <c r="G74" i="12" l="1"/>
  <c r="H73" i="12"/>
  <c r="H74" i="12" l="1"/>
  <c r="G75" i="12"/>
  <c r="G76" i="12" l="1"/>
  <c r="H75" i="12"/>
  <c r="G77" i="12" l="1"/>
  <c r="H76" i="12"/>
  <c r="H77" i="12" l="1"/>
  <c r="G78" i="12"/>
  <c r="G79" i="12" l="1"/>
  <c r="H78" i="12"/>
  <c r="G80" i="12" l="1"/>
  <c r="H79" i="12"/>
  <c r="H80" i="12" l="1"/>
  <c r="G81" i="12"/>
  <c r="G82" i="12" l="1"/>
  <c r="H81" i="12"/>
  <c r="G83" i="12" l="1"/>
  <c r="H82" i="12"/>
  <c r="H83" i="12" l="1"/>
  <c r="G84" i="12"/>
  <c r="G85" i="12" l="1"/>
  <c r="H84" i="12"/>
  <c r="G86" i="12" l="1"/>
  <c r="H85" i="12"/>
  <c r="H86" i="12" l="1"/>
  <c r="G87" i="12"/>
  <c r="G88" i="12" l="1"/>
  <c r="H87" i="12"/>
  <c r="G89" i="12" l="1"/>
  <c r="H88" i="12"/>
  <c r="H89" i="12" l="1"/>
  <c r="G90" i="12"/>
  <c r="G91" i="12" l="1"/>
  <c r="H90" i="12"/>
  <c r="G92" i="12" l="1"/>
  <c r="H91" i="12"/>
  <c r="H92" i="12" l="1"/>
  <c r="G93" i="12"/>
  <c r="G94" i="12" l="1"/>
  <c r="H93" i="12"/>
  <c r="G95" i="12" l="1"/>
  <c r="H94" i="12"/>
  <c r="H95" i="12" l="1"/>
  <c r="G96" i="12"/>
  <c r="G97" i="12" l="1"/>
  <c r="H96" i="12"/>
  <c r="G98" i="12" l="1"/>
  <c r="H97" i="12"/>
  <c r="H98" i="12" l="1"/>
  <c r="G99" i="12"/>
  <c r="G100" i="12" l="1"/>
  <c r="H99" i="12"/>
  <c r="G101" i="12" l="1"/>
  <c r="H100" i="12"/>
  <c r="H101" i="12" l="1"/>
  <c r="G102" i="12"/>
  <c r="G103" i="12" l="1"/>
  <c r="H102" i="12"/>
  <c r="G104" i="12" l="1"/>
  <c r="H103" i="12"/>
  <c r="H104" i="12" l="1"/>
  <c r="G105" i="12"/>
  <c r="G106" i="12" l="1"/>
  <c r="H105" i="12"/>
  <c r="G107" i="12" l="1"/>
  <c r="H106" i="12"/>
  <c r="H107" i="12" l="1"/>
  <c r="G108" i="12"/>
  <c r="G109" i="12" l="1"/>
  <c r="H108" i="12"/>
  <c r="H109" i="12" l="1"/>
  <c r="G110" i="12"/>
  <c r="H110" i="12" l="1"/>
  <c r="G111" i="12"/>
  <c r="H111" i="12" l="1"/>
  <c r="G112" i="12"/>
  <c r="H112" i="12" l="1"/>
  <c r="G113" i="12"/>
  <c r="G114" i="12" l="1"/>
  <c r="H113" i="12"/>
  <c r="G115" i="12" l="1"/>
  <c r="H114" i="12"/>
  <c r="H115" i="12" l="1"/>
  <c r="G116" i="12"/>
  <c r="G117" i="12" l="1"/>
  <c r="H116" i="12"/>
  <c r="H117" i="12" l="1"/>
  <c r="G118" i="12"/>
  <c r="H118" i="12" l="1"/>
  <c r="G119" i="12"/>
  <c r="G120" i="12" l="1"/>
  <c r="H119" i="12"/>
  <c r="H120" i="12" l="1"/>
  <c r="G121" i="12"/>
  <c r="H121" i="12" l="1"/>
  <c r="G122" i="12"/>
  <c r="G123" i="12" l="1"/>
  <c r="H122" i="12"/>
  <c r="H123" i="12" l="1"/>
  <c r="G124" i="12"/>
  <c r="H124" i="12" l="1"/>
  <c r="G125" i="12"/>
  <c r="G126" i="12" l="1"/>
  <c r="H125" i="12"/>
  <c r="G127" i="12" l="1"/>
  <c r="H126" i="12"/>
  <c r="H127" i="12" l="1"/>
  <c r="G128" i="12"/>
  <c r="G129" i="12" l="1"/>
  <c r="H128" i="12"/>
  <c r="G130" i="12" l="1"/>
  <c r="H129" i="12"/>
  <c r="H130" i="12" l="1"/>
  <c r="G131" i="12"/>
  <c r="G132" i="12" l="1"/>
  <c r="H131" i="12"/>
  <c r="G133" i="12" l="1"/>
  <c r="H132" i="12"/>
  <c r="H133" i="12" l="1"/>
  <c r="G134" i="12"/>
  <c r="G135" i="12" l="1"/>
  <c r="H134" i="12"/>
  <c r="G136" i="12" l="1"/>
  <c r="H135" i="12"/>
  <c r="H136" i="12" l="1"/>
  <c r="G137" i="12"/>
  <c r="G138" i="12" l="1"/>
  <c r="H137" i="12"/>
  <c r="G139" i="12" l="1"/>
  <c r="H138" i="12"/>
  <c r="H139" i="12" l="1"/>
  <c r="G140" i="12"/>
  <c r="H140" i="12" l="1"/>
  <c r="G141" i="12"/>
  <c r="G142" i="12" l="1"/>
  <c r="H141" i="12"/>
  <c r="H142" i="12" l="1"/>
  <c r="G143" i="12"/>
  <c r="H143" i="12" l="1"/>
  <c r="G144" i="12"/>
  <c r="G145" i="12" l="1"/>
  <c r="H144" i="12"/>
  <c r="H145" i="12" l="1"/>
  <c r="G146" i="12"/>
  <c r="H146" i="12" l="1"/>
  <c r="G147" i="12"/>
  <c r="G148" i="12" l="1"/>
  <c r="H147" i="12"/>
  <c r="H148" i="12" l="1"/>
  <c r="G149" i="12"/>
  <c r="G150" i="12" l="1"/>
  <c r="H149" i="12"/>
  <c r="G151" i="12" l="1"/>
  <c r="H150" i="12"/>
  <c r="H151" i="12" l="1"/>
  <c r="G152" i="12"/>
  <c r="G153" i="12" l="1"/>
  <c r="H152" i="12"/>
  <c r="H153" i="12" l="1"/>
  <c r="G154" i="12"/>
  <c r="H154" i="12" l="1"/>
  <c r="G155" i="12"/>
  <c r="G156" i="12" l="1"/>
  <c r="H155" i="12"/>
  <c r="H156" i="12" l="1"/>
  <c r="G157" i="12"/>
  <c r="H157" i="12" l="1"/>
  <c r="G158" i="12"/>
  <c r="G159" i="12" l="1"/>
  <c r="H158" i="12"/>
  <c r="H159" i="12" l="1"/>
  <c r="G160" i="12"/>
  <c r="H160" i="12" l="1"/>
  <c r="G161" i="12"/>
  <c r="G162" i="12" l="1"/>
  <c r="H161" i="12"/>
  <c r="G163" i="12" l="1"/>
  <c r="H162" i="12"/>
  <c r="H163" i="12" l="1"/>
  <c r="G164" i="12"/>
  <c r="G165" i="12" l="1"/>
  <c r="H164" i="12"/>
  <c r="G166" i="12" l="1"/>
  <c r="H165" i="12"/>
  <c r="H166" i="12" l="1"/>
  <c r="G167" i="12"/>
  <c r="G168" i="12" l="1"/>
  <c r="H167" i="12"/>
  <c r="G169" i="12" l="1"/>
  <c r="H168" i="12"/>
  <c r="H169" i="12" l="1"/>
  <c r="G170" i="12"/>
  <c r="G171" i="12" l="1"/>
  <c r="H170" i="12"/>
  <c r="G172" i="12" l="1"/>
  <c r="H171" i="12"/>
  <c r="H172" i="12" l="1"/>
  <c r="G173" i="12"/>
  <c r="G174" i="12" l="1"/>
  <c r="H173" i="12"/>
  <c r="G175" i="12" l="1"/>
  <c r="H174" i="12"/>
  <c r="H175" i="12" l="1"/>
  <c r="G176" i="12"/>
  <c r="H176" i="12" l="1"/>
  <c r="G177" i="12"/>
  <c r="G178" i="12" l="1"/>
  <c r="H177" i="12"/>
  <c r="H178" i="12" l="1"/>
  <c r="G179" i="12"/>
  <c r="H179" i="12" l="1"/>
  <c r="G180" i="12"/>
  <c r="G181" i="12" l="1"/>
  <c r="H180" i="12"/>
  <c r="H181" i="12" l="1"/>
  <c r="G182" i="12"/>
  <c r="H182" i="12" l="1"/>
  <c r="G183" i="12"/>
  <c r="G184" i="12" l="1"/>
  <c r="H183" i="12"/>
  <c r="H184" i="12" l="1"/>
  <c r="G185" i="12"/>
  <c r="G186" i="12" l="1"/>
  <c r="H185" i="12"/>
  <c r="G187" i="12" l="1"/>
  <c r="H186" i="12"/>
  <c r="H187" i="12" l="1"/>
  <c r="G188" i="12"/>
  <c r="G189" i="12" l="1"/>
  <c r="H188" i="12"/>
  <c r="H189" i="12" l="1"/>
  <c r="G190" i="12"/>
  <c r="H190" i="12" l="1"/>
  <c r="G191" i="12"/>
  <c r="G192" i="12" l="1"/>
  <c r="H191" i="12"/>
  <c r="H192" i="12" l="1"/>
  <c r="G193" i="12"/>
  <c r="H193" i="12" l="1"/>
  <c r="G194" i="12"/>
  <c r="G195" i="12" l="1"/>
  <c r="H194" i="12"/>
  <c r="H195" i="12" l="1"/>
  <c r="G196" i="12"/>
  <c r="H196" i="12" l="1"/>
  <c r="G197" i="12"/>
  <c r="G198" i="12" l="1"/>
  <c r="H197" i="12"/>
  <c r="G199" i="12" l="1"/>
  <c r="H198" i="12"/>
  <c r="H199" i="12" l="1"/>
  <c r="G200" i="12"/>
  <c r="G201" i="12" l="1"/>
  <c r="H200" i="12"/>
  <c r="G202" i="12" l="1"/>
  <c r="H201" i="12"/>
  <c r="H202" i="12" l="1"/>
  <c r="G203" i="12"/>
  <c r="G204" i="12" l="1"/>
  <c r="H203" i="12"/>
  <c r="G205" i="12" l="1"/>
  <c r="H204" i="12"/>
  <c r="H205" i="12" l="1"/>
  <c r="G206" i="12"/>
  <c r="G207" i="12" l="1"/>
  <c r="H206" i="12"/>
  <c r="G208" i="12" l="1"/>
  <c r="H207" i="12"/>
  <c r="H208" i="12" l="1"/>
  <c r="G209" i="12"/>
  <c r="G210" i="12" l="1"/>
  <c r="H209" i="12"/>
  <c r="G211" i="12" l="1"/>
  <c r="H210" i="12"/>
  <c r="H211" i="12" l="1"/>
  <c r="G212" i="12"/>
  <c r="H212" i="12" l="1"/>
  <c r="G213" i="12"/>
  <c r="G214" i="12" l="1"/>
  <c r="H213" i="12"/>
  <c r="H214" i="12" l="1"/>
  <c r="G215" i="12"/>
  <c r="H215" i="12" l="1"/>
  <c r="G216" i="12"/>
  <c r="G217" i="12" l="1"/>
  <c r="H216" i="12"/>
  <c r="H217" i="12" l="1"/>
  <c r="G218" i="12"/>
  <c r="H218" i="12" l="1"/>
  <c r="G219" i="12"/>
  <c r="G220" i="12" l="1"/>
  <c r="H219" i="12"/>
  <c r="H220" i="12" l="1"/>
  <c r="G221" i="12"/>
  <c r="G222" i="12" l="1"/>
  <c r="H221" i="12"/>
  <c r="G223" i="12" l="1"/>
  <c r="H222" i="12"/>
  <c r="H223" i="12" l="1"/>
  <c r="G224" i="12"/>
  <c r="G225" i="12" l="1"/>
  <c r="H224" i="12"/>
  <c r="H225" i="12" l="1"/>
  <c r="G226" i="12"/>
  <c r="H226" i="12" l="1"/>
  <c r="G227" i="12"/>
  <c r="G228" i="12" l="1"/>
  <c r="H227" i="12"/>
  <c r="H228" i="12" l="1"/>
  <c r="G229" i="12"/>
  <c r="H229" i="12" l="1"/>
  <c r="G230" i="12"/>
  <c r="G231" i="12" l="1"/>
  <c r="H230" i="12"/>
  <c r="H231" i="12" l="1"/>
  <c r="G232" i="12"/>
  <c r="H232" i="12" l="1"/>
  <c r="G233" i="12"/>
  <c r="G234" i="12" l="1"/>
  <c r="H233" i="12"/>
  <c r="G235" i="12" l="1"/>
  <c r="H234" i="12"/>
  <c r="H235" i="12" l="1"/>
  <c r="G236" i="12"/>
  <c r="G237" i="12" l="1"/>
  <c r="H236" i="12"/>
  <c r="G238" i="12" l="1"/>
  <c r="H237" i="12"/>
  <c r="H238" i="12" l="1"/>
  <c r="G239" i="12"/>
  <c r="G240" i="12" l="1"/>
  <c r="H239" i="12"/>
  <c r="G241" i="12" l="1"/>
  <c r="H240" i="12"/>
  <c r="H241" i="12" l="1"/>
  <c r="G242" i="12"/>
  <c r="H242" i="12" l="1"/>
  <c r="G243" i="12"/>
  <c r="G244" i="12" l="1"/>
  <c r="H243" i="12"/>
  <c r="H244" i="12" l="1"/>
  <c r="G245" i="12"/>
  <c r="H245" i="12" l="1"/>
  <c r="G246" i="12"/>
  <c r="G247" i="12" l="1"/>
  <c r="H246" i="12"/>
  <c r="H247" i="12" l="1"/>
  <c r="G248" i="12"/>
  <c r="G249" i="12" l="1"/>
  <c r="H248" i="12"/>
  <c r="G250" i="12" l="1"/>
  <c r="H249" i="12"/>
  <c r="H250" i="12" l="1"/>
  <c r="G251" i="12"/>
  <c r="G252" i="12" l="1"/>
  <c r="H251" i="12"/>
  <c r="G253" i="12" l="1"/>
  <c r="H252" i="12"/>
  <c r="H253" i="12" l="1"/>
  <c r="G254" i="12"/>
  <c r="G255" i="12" l="1"/>
  <c r="H254" i="12"/>
  <c r="G256" i="12" l="1"/>
  <c r="H255" i="12"/>
  <c r="H256" i="12" l="1"/>
  <c r="G257" i="12"/>
  <c r="G258" i="12" l="1"/>
  <c r="H257" i="12"/>
  <c r="G259" i="12" l="1"/>
  <c r="H258" i="12"/>
  <c r="H259" i="12" l="1"/>
  <c r="G260" i="12"/>
  <c r="H260" i="12" l="1"/>
  <c r="G261" i="12"/>
  <c r="G262" i="12" l="1"/>
  <c r="H261" i="12"/>
  <c r="H262" i="12" l="1"/>
  <c r="G263" i="12"/>
  <c r="H263" i="12" l="1"/>
  <c r="G264" i="12"/>
  <c r="G265" i="12" l="1"/>
  <c r="H264" i="12"/>
  <c r="H265" i="12" l="1"/>
  <c r="G266" i="12"/>
  <c r="G267" i="12" l="1"/>
  <c r="H266" i="12"/>
  <c r="G268" i="12" l="1"/>
  <c r="H267" i="12"/>
  <c r="H268" i="12" l="1"/>
  <c r="G269" i="12"/>
  <c r="G270" i="12" l="1"/>
  <c r="H269" i="12"/>
  <c r="G271" i="12" l="1"/>
  <c r="H270" i="12"/>
  <c r="H271" i="12" l="1"/>
  <c r="G272" i="12"/>
  <c r="G273" i="12" l="1"/>
  <c r="H272" i="12"/>
  <c r="G274" i="12" l="1"/>
  <c r="H273" i="12"/>
  <c r="H274" i="12" l="1"/>
  <c r="G275" i="12"/>
  <c r="G276" i="12" l="1"/>
  <c r="H275" i="12"/>
  <c r="G277" i="12" l="1"/>
  <c r="H276" i="12"/>
  <c r="H277" i="12" l="1"/>
  <c r="G278" i="12"/>
  <c r="G279" i="12" l="1"/>
  <c r="H278" i="12"/>
  <c r="G280" i="12" l="1"/>
  <c r="H279" i="12"/>
  <c r="H280" i="12" l="1"/>
  <c r="G281" i="12"/>
  <c r="G282" i="12" l="1"/>
  <c r="H281" i="12"/>
  <c r="G283" i="12" l="1"/>
  <c r="H282" i="12"/>
  <c r="H283" i="12" l="1"/>
  <c r="G284" i="12"/>
  <c r="G285" i="12" l="1"/>
  <c r="H284" i="12"/>
  <c r="G286" i="12" l="1"/>
  <c r="H285" i="12"/>
  <c r="H286" i="12" l="1"/>
  <c r="G287" i="12"/>
  <c r="G288" i="12" l="1"/>
  <c r="H287" i="12"/>
  <c r="G289" i="12" l="1"/>
  <c r="H288" i="12"/>
  <c r="H289" i="12" l="1"/>
  <c r="G290" i="12"/>
  <c r="G291" i="12" l="1"/>
  <c r="H290" i="12"/>
  <c r="G292" i="12" l="1"/>
  <c r="H291" i="12"/>
  <c r="H292" i="12" l="1"/>
  <c r="G293" i="12"/>
  <c r="G294" i="12" l="1"/>
  <c r="H293" i="12"/>
  <c r="G295" i="12" l="1"/>
  <c r="H294" i="12"/>
  <c r="H295" i="12" l="1"/>
  <c r="G296" i="12"/>
  <c r="G297" i="12" l="1"/>
  <c r="H296" i="12"/>
  <c r="G298" i="12" l="1"/>
  <c r="H297" i="12"/>
  <c r="H298" i="12" l="1"/>
  <c r="G299" i="12"/>
  <c r="G300" i="12" l="1"/>
  <c r="H299" i="12"/>
  <c r="G301" i="12" l="1"/>
  <c r="H300" i="12"/>
  <c r="H301" i="12" l="1"/>
  <c r="G302" i="12"/>
  <c r="G303" i="12" l="1"/>
  <c r="H302" i="12"/>
  <c r="G304" i="12" l="1"/>
  <c r="H303" i="12"/>
  <c r="H304" i="12" l="1"/>
  <c r="G305" i="12"/>
  <c r="G306" i="12" l="1"/>
  <c r="H305" i="12"/>
  <c r="G307" i="12" l="1"/>
  <c r="H306" i="12"/>
  <c r="H307" i="12" l="1"/>
  <c r="G308" i="12"/>
  <c r="G309" i="12" l="1"/>
  <c r="H308" i="12"/>
  <c r="G310" i="12" l="1"/>
  <c r="H309" i="12"/>
  <c r="H310" i="12" l="1"/>
  <c r="G311" i="12"/>
  <c r="G312" i="12" l="1"/>
  <c r="H311" i="12"/>
  <c r="G313" i="12" l="1"/>
  <c r="H312" i="12"/>
  <c r="H313" i="12" l="1"/>
  <c r="G314" i="12"/>
  <c r="G315" i="12" l="1"/>
  <c r="H314" i="12"/>
  <c r="G316" i="12" l="1"/>
  <c r="H315" i="12"/>
  <c r="H316" i="12" l="1"/>
  <c r="G317" i="12"/>
  <c r="G318" i="12" l="1"/>
  <c r="H317" i="12"/>
  <c r="G319" i="12" l="1"/>
  <c r="H318" i="12"/>
  <c r="H319" i="12" l="1"/>
  <c r="G320" i="12"/>
  <c r="G321" i="12" l="1"/>
  <c r="H320" i="12"/>
  <c r="G322" i="12" l="1"/>
  <c r="H321" i="12"/>
  <c r="H322" i="12" l="1"/>
  <c r="G323" i="12"/>
  <c r="G324" i="12" l="1"/>
  <c r="H323" i="12"/>
  <c r="G325" i="12" l="1"/>
  <c r="H324" i="12"/>
  <c r="H325" i="12" l="1"/>
  <c r="G326" i="12"/>
  <c r="G327" i="12" l="1"/>
  <c r="H326" i="12"/>
  <c r="G328" i="12" l="1"/>
  <c r="H327" i="12"/>
  <c r="H328" i="12" l="1"/>
  <c r="G329" i="12"/>
  <c r="H329" i="12" l="1"/>
  <c r="G330" i="12"/>
  <c r="G331" i="12" l="1"/>
  <c r="H330" i="12"/>
  <c r="H331" i="12" l="1"/>
  <c r="G332" i="12"/>
  <c r="G333" i="12" l="1"/>
  <c r="H332" i="12"/>
  <c r="H333" i="12" l="1"/>
  <c r="G334" i="12"/>
  <c r="H334" i="12" l="1"/>
  <c r="G335" i="12"/>
  <c r="G336" i="12" l="1"/>
  <c r="H335" i="12"/>
  <c r="G337" i="12" l="1"/>
  <c r="H336" i="12"/>
  <c r="H337" i="12" l="1"/>
  <c r="G338" i="12"/>
  <c r="G339" i="12" l="1"/>
  <c r="H338" i="12"/>
  <c r="G340" i="12" l="1"/>
  <c r="H339" i="12"/>
  <c r="H340" i="12" l="1"/>
  <c r="G341" i="12"/>
  <c r="H341" i="12" l="1"/>
  <c r="G342" i="12"/>
  <c r="G343" i="12" l="1"/>
  <c r="H342" i="12"/>
  <c r="H343" i="12" l="1"/>
  <c r="G344" i="12"/>
  <c r="G345" i="12" l="1"/>
  <c r="H344" i="12"/>
  <c r="H345" i="12" l="1"/>
  <c r="G346" i="12"/>
  <c r="H346" i="12" l="1"/>
  <c r="G347" i="12"/>
  <c r="G348" i="12" l="1"/>
  <c r="H347" i="12"/>
  <c r="G349" i="12" l="1"/>
  <c r="H348" i="12"/>
  <c r="H349" i="12" l="1"/>
  <c r="G350" i="12"/>
  <c r="G351" i="12" l="1"/>
  <c r="H350" i="12"/>
  <c r="G352" i="12" l="1"/>
  <c r="H351" i="12"/>
  <c r="H352" i="12" l="1"/>
  <c r="G353" i="12"/>
  <c r="H353" i="12" l="1"/>
  <c r="G354" i="12"/>
  <c r="G355" i="12" l="1"/>
  <c r="H354" i="12"/>
  <c r="H355" i="12" l="1"/>
  <c r="G356" i="12"/>
  <c r="G357" i="12" l="1"/>
  <c r="H356" i="12"/>
  <c r="H357" i="12" l="1"/>
  <c r="G358" i="12"/>
  <c r="H358" i="12" l="1"/>
  <c r="G359" i="12"/>
  <c r="G360" i="12" l="1"/>
  <c r="H359" i="12"/>
  <c r="G361" i="12" l="1"/>
  <c r="H360" i="12"/>
  <c r="H361" i="12" l="1"/>
  <c r="G362" i="12"/>
  <c r="G363" i="12" l="1"/>
  <c r="H362" i="12"/>
  <c r="G364" i="12" l="1"/>
  <c r="H363" i="12"/>
  <c r="H364" i="12" l="1"/>
  <c r="G365" i="12"/>
  <c r="H365" i="12" l="1"/>
  <c r="G366" i="12"/>
  <c r="G367" i="12" l="1"/>
  <c r="H366" i="12"/>
  <c r="H367" i="12" l="1"/>
  <c r="G368" i="12"/>
  <c r="G369" i="12" l="1"/>
  <c r="H368" i="12"/>
  <c r="H369" i="12" l="1"/>
  <c r="G370" i="12"/>
  <c r="H370" i="12" l="1"/>
  <c r="G371" i="12"/>
  <c r="G372" i="12" l="1"/>
  <c r="H371" i="12"/>
  <c r="G373" i="12" l="1"/>
  <c r="H372" i="12"/>
  <c r="H373" i="12" l="1"/>
  <c r="G374" i="12"/>
  <c r="G375" i="12" l="1"/>
  <c r="H374" i="12"/>
  <c r="G376" i="12" l="1"/>
  <c r="H375" i="12"/>
  <c r="H376" i="12" l="1"/>
  <c r="G377" i="12"/>
  <c r="H377" i="12" l="1"/>
  <c r="G378" i="12"/>
  <c r="G379" i="12" l="1"/>
  <c r="H378" i="12"/>
  <c r="H379" i="12" l="1"/>
  <c r="G380" i="12"/>
  <c r="G381" i="12" l="1"/>
  <c r="H380" i="12"/>
  <c r="H381" i="12" l="1"/>
  <c r="G382" i="12"/>
  <c r="H382" i="12" l="1"/>
  <c r="G383" i="12"/>
  <c r="G384" i="12" l="1"/>
  <c r="H383" i="12"/>
  <c r="G385" i="12" l="1"/>
  <c r="H384" i="12"/>
  <c r="H385" i="12" l="1"/>
  <c r="G386" i="12"/>
  <c r="G387" i="12" l="1"/>
  <c r="H386" i="12"/>
  <c r="G388" i="12" l="1"/>
  <c r="H387" i="12"/>
  <c r="H388" i="12" l="1"/>
  <c r="G389" i="12"/>
  <c r="H389" i="12" l="1"/>
  <c r="G390" i="12"/>
  <c r="G391" i="12" l="1"/>
  <c r="H390" i="12"/>
  <c r="H391" i="12" l="1"/>
  <c r="G392" i="12"/>
  <c r="G393" i="12" l="1"/>
  <c r="H392" i="12"/>
  <c r="H393" i="12" l="1"/>
  <c r="G394" i="12"/>
  <c r="H394" i="12" l="1"/>
  <c r="G395" i="12"/>
  <c r="G396" i="12" l="1"/>
  <c r="H395" i="12"/>
  <c r="G397" i="12" l="1"/>
  <c r="H396" i="12"/>
  <c r="H397" i="12" l="1"/>
  <c r="G398" i="12"/>
  <c r="G399" i="12" l="1"/>
  <c r="H398" i="12"/>
  <c r="G400" i="12" l="1"/>
  <c r="H399" i="12"/>
  <c r="H400" i="12" l="1"/>
  <c r="G401" i="12"/>
  <c r="H401" i="12" l="1"/>
  <c r="G402" i="12"/>
  <c r="G403" i="12" l="1"/>
  <c r="H402" i="12"/>
  <c r="H403" i="12" l="1"/>
  <c r="G404" i="12"/>
  <c r="G405" i="12" l="1"/>
  <c r="H404" i="12"/>
  <c r="H405" i="12" l="1"/>
  <c r="G406" i="12"/>
  <c r="H406" i="12" l="1"/>
  <c r="G407" i="12"/>
  <c r="G408" i="12" l="1"/>
  <c r="H407" i="12"/>
  <c r="G409" i="12" l="1"/>
  <c r="H408" i="12"/>
  <c r="H409" i="12" l="1"/>
  <c r="G410" i="12"/>
  <c r="G411" i="12" l="1"/>
  <c r="H410" i="12"/>
  <c r="G412" i="12" l="1"/>
  <c r="H411" i="12"/>
  <c r="H412" i="12" l="1"/>
  <c r="G413" i="12"/>
  <c r="H413" i="12" l="1"/>
  <c r="G414" i="12"/>
  <c r="G415" i="12" l="1"/>
  <c r="H414" i="12"/>
  <c r="H415" i="12" l="1"/>
  <c r="G416" i="12"/>
  <c r="G417" i="12" l="1"/>
  <c r="H416" i="12"/>
  <c r="H417" i="12" l="1"/>
  <c r="G418" i="12"/>
  <c r="H418" i="12" l="1"/>
  <c r="G419" i="12"/>
  <c r="G420" i="12" l="1"/>
  <c r="H419" i="12"/>
  <c r="G421" i="12" l="1"/>
  <c r="H420" i="12"/>
  <c r="H421" i="12" l="1"/>
  <c r="G422" i="12"/>
  <c r="G423" i="12" l="1"/>
  <c r="H422" i="12"/>
  <c r="G424" i="12" l="1"/>
  <c r="H423" i="12"/>
  <c r="H424" i="12" l="1"/>
  <c r="G425" i="12"/>
  <c r="H425" i="12" l="1"/>
  <c r="G426" i="12"/>
  <c r="G427" i="12" l="1"/>
  <c r="H426" i="12"/>
  <c r="H427" i="12" l="1"/>
  <c r="G428" i="12"/>
  <c r="G429" i="12" l="1"/>
  <c r="H428" i="12"/>
  <c r="H429" i="12" l="1"/>
  <c r="G430" i="12"/>
  <c r="H430" i="12" l="1"/>
  <c r="G431" i="12"/>
  <c r="G432" i="12" l="1"/>
  <c r="H431" i="12"/>
  <c r="G433" i="12" l="1"/>
  <c r="H432" i="12"/>
  <c r="H433" i="12" l="1"/>
  <c r="G434" i="12"/>
  <c r="G435" i="12" l="1"/>
  <c r="H434" i="12"/>
  <c r="H435" i="12" l="1"/>
  <c r="G436" i="12"/>
  <c r="H436" i="12" l="1"/>
  <c r="G437" i="12"/>
  <c r="G438" i="12" l="1"/>
  <c r="H437" i="12"/>
  <c r="H438" i="12" l="1"/>
  <c r="G439" i="12"/>
  <c r="H439" i="12" l="1"/>
  <c r="G440" i="12"/>
  <c r="G441" i="12" l="1"/>
  <c r="H440" i="12"/>
  <c r="H441" i="12" l="1"/>
  <c r="G442" i="12"/>
  <c r="H442" i="12" l="1"/>
  <c r="G443" i="12"/>
  <c r="G444" i="12" l="1"/>
  <c r="H443" i="12"/>
  <c r="H444" i="12" l="1"/>
  <c r="G445" i="12"/>
  <c r="H445" i="12" l="1"/>
  <c r="G446" i="12"/>
  <c r="G447" i="12" l="1"/>
  <c r="H446" i="12"/>
  <c r="H447" i="12" l="1"/>
  <c r="G448" i="12"/>
  <c r="H448" i="12" l="1"/>
  <c r="G449" i="12"/>
  <c r="G450" i="12" l="1"/>
  <c r="H449" i="12"/>
  <c r="H450" i="12" l="1"/>
  <c r="G451" i="12"/>
  <c r="H451" i="12" l="1"/>
  <c r="G452" i="12"/>
  <c r="G453" i="12" l="1"/>
  <c r="H452" i="12"/>
  <c r="H453" i="12" l="1"/>
  <c r="G454" i="12"/>
  <c r="H454" i="12" l="1"/>
  <c r="G455" i="12"/>
  <c r="G456" i="12" l="1"/>
  <c r="H455" i="12"/>
  <c r="H456" i="12" l="1"/>
  <c r="G457" i="12"/>
  <c r="H457" i="12" l="1"/>
  <c r="G458" i="12"/>
  <c r="G459" i="12" l="1"/>
  <c r="H458" i="12"/>
  <c r="H459" i="12" l="1"/>
  <c r="G460" i="12"/>
  <c r="H460" i="12" l="1"/>
  <c r="G461" i="12"/>
  <c r="G462" i="12" l="1"/>
  <c r="H461" i="12"/>
  <c r="H462" i="12" l="1"/>
  <c r="G463" i="12"/>
  <c r="H463" i="12" l="1"/>
  <c r="G464" i="12"/>
  <c r="G465" i="12" l="1"/>
  <c r="H464" i="12"/>
  <c r="H465" i="12" l="1"/>
  <c r="G466" i="12"/>
  <c r="H466" i="12" l="1"/>
  <c r="G467" i="12"/>
  <c r="H467" i="12" l="1"/>
  <c r="G468" i="12"/>
  <c r="H468" i="12" l="1"/>
  <c r="G469" i="12"/>
  <c r="H469" i="12" l="1"/>
  <c r="G470" i="12"/>
  <c r="G471" i="12" l="1"/>
  <c r="H470" i="12"/>
  <c r="H471" i="12" l="1"/>
  <c r="G472" i="12"/>
  <c r="H472" i="12" l="1"/>
  <c r="G473" i="12"/>
  <c r="G474" i="12" l="1"/>
  <c r="H473" i="12"/>
  <c r="H474" i="12" l="1"/>
  <c r="G475" i="12"/>
  <c r="H475" i="12" l="1"/>
  <c r="G476" i="12"/>
  <c r="G477" i="12" l="1"/>
  <c r="H476" i="12"/>
  <c r="H477" i="12" l="1"/>
  <c r="G478" i="12"/>
  <c r="H478" i="12" l="1"/>
  <c r="G479" i="12"/>
  <c r="G480" i="12" l="1"/>
  <c r="H479" i="12"/>
  <c r="H480" i="12" l="1"/>
  <c r="G481" i="12"/>
  <c r="H481" i="12" l="1"/>
  <c r="G482" i="12"/>
  <c r="H482" i="12" l="1"/>
  <c r="G483" i="12"/>
  <c r="H483" i="12" l="1"/>
  <c r="G484" i="12"/>
  <c r="H484" i="12" l="1"/>
  <c r="G485" i="12"/>
  <c r="G486" i="12" l="1"/>
  <c r="H485" i="12"/>
  <c r="H486" i="12" l="1"/>
  <c r="G487" i="12"/>
  <c r="H487" i="12" l="1"/>
  <c r="G488" i="12"/>
  <c r="G489" i="12" l="1"/>
  <c r="H488" i="12"/>
  <c r="H489" i="12" l="1"/>
  <c r="G490" i="12"/>
  <c r="H490" i="12" l="1"/>
  <c r="G491" i="12"/>
  <c r="G492" i="12" l="1"/>
  <c r="H491" i="12"/>
  <c r="H492" i="12" l="1"/>
  <c r="G493" i="12"/>
  <c r="H493" i="12" l="1"/>
  <c r="G494" i="12"/>
  <c r="G495" i="12" l="1"/>
  <c r="H494" i="12"/>
  <c r="H495" i="12" l="1"/>
  <c r="G496" i="12"/>
  <c r="H496" i="12" l="1"/>
  <c r="G497" i="12"/>
  <c r="G498" i="12" l="1"/>
  <c r="H497" i="12"/>
  <c r="H498" i="12" l="1"/>
  <c r="G499" i="12"/>
  <c r="H499" i="12" l="1"/>
  <c r="G500" i="12"/>
  <c r="G501" i="12" l="1"/>
  <c r="H500" i="12"/>
  <c r="H501" i="12" l="1"/>
  <c r="G502" i="12"/>
  <c r="H502" i="12" l="1"/>
  <c r="G503" i="12"/>
  <c r="H503" i="12" l="1"/>
  <c r="G504" i="12"/>
  <c r="H504" i="12" l="1"/>
  <c r="G505" i="12"/>
  <c r="H505" i="12" l="1"/>
  <c r="G506" i="12"/>
  <c r="G507" i="12" l="1"/>
  <c r="H506" i="12"/>
  <c r="H507" i="12" l="1"/>
  <c r="G508" i="12"/>
  <c r="H508" i="12" l="1"/>
  <c r="G509" i="12"/>
  <c r="G510" i="12" l="1"/>
  <c r="H509" i="12"/>
  <c r="H510" i="12" l="1"/>
  <c r="G511" i="12"/>
  <c r="H511" i="12" l="1"/>
  <c r="G512" i="12"/>
  <c r="G513" i="12" l="1"/>
  <c r="H512" i="12"/>
  <c r="H513" i="12" l="1"/>
  <c r="G514" i="12"/>
  <c r="H514" i="12" l="1"/>
  <c r="G515" i="12"/>
  <c r="G516" i="12" l="1"/>
  <c r="H515" i="12"/>
  <c r="H516" i="12" l="1"/>
  <c r="G517" i="12"/>
  <c r="H517" i="12" l="1"/>
  <c r="G518" i="12"/>
  <c r="H518" i="12" l="1"/>
  <c r="G519" i="12"/>
  <c r="H519" i="12" l="1"/>
  <c r="G520" i="12"/>
  <c r="H520" i="12" l="1"/>
  <c r="G521" i="12"/>
  <c r="G522" i="12" l="1"/>
  <c r="H521" i="12"/>
  <c r="H522" i="12" l="1"/>
  <c r="G523" i="12"/>
  <c r="H523" i="12" l="1"/>
  <c r="G524" i="12"/>
  <c r="G525" i="12" l="1"/>
  <c r="H524" i="12"/>
  <c r="H525" i="12" l="1"/>
  <c r="G526" i="12"/>
  <c r="H526" i="12" l="1"/>
  <c r="G527" i="12"/>
  <c r="G528" i="12" l="1"/>
  <c r="H527" i="12"/>
  <c r="H528" i="12" l="1"/>
  <c r="G529" i="12"/>
  <c r="H529" i="12" l="1"/>
  <c r="G530" i="12"/>
  <c r="G531" i="12" l="1"/>
  <c r="H530" i="12"/>
  <c r="H531" i="12" l="1"/>
  <c r="G532" i="12"/>
  <c r="H532" i="12" l="1"/>
  <c r="G533" i="12"/>
  <c r="G534" i="12" l="1"/>
  <c r="H533" i="12"/>
  <c r="H534" i="12" l="1"/>
  <c r="G535" i="12"/>
  <c r="H535" i="12" l="1"/>
  <c r="G536" i="12"/>
  <c r="G537" i="12" l="1"/>
  <c r="H536" i="12"/>
  <c r="H537" i="12" l="1"/>
  <c r="G538" i="12"/>
  <c r="H538" i="12" l="1"/>
  <c r="G539" i="12"/>
  <c r="H539" i="12" l="1"/>
  <c r="G540" i="12"/>
  <c r="H540" i="12" l="1"/>
  <c r="G541" i="12"/>
  <c r="H541" i="12" l="1"/>
  <c r="G542" i="12"/>
  <c r="G543" i="12" l="1"/>
  <c r="H542" i="12"/>
  <c r="H543" i="12" l="1"/>
  <c r="G544" i="12"/>
  <c r="H544" i="12" l="1"/>
  <c r="G545" i="12"/>
  <c r="G546" i="12" l="1"/>
  <c r="H545" i="12"/>
  <c r="H546" i="12" l="1"/>
  <c r="G547" i="12"/>
  <c r="H547" i="12" l="1"/>
  <c r="G548" i="12"/>
  <c r="G549" i="12" l="1"/>
  <c r="H548" i="12"/>
  <c r="H549" i="12" l="1"/>
  <c r="G550" i="12"/>
  <c r="H550" i="12" l="1"/>
  <c r="G551" i="12"/>
  <c r="G552" i="12" l="1"/>
  <c r="H551" i="12"/>
  <c r="H552" i="12" l="1"/>
  <c r="G553" i="12"/>
  <c r="H553" i="12" l="1"/>
  <c r="G554" i="12"/>
  <c r="H554" i="12" l="1"/>
  <c r="G555" i="12"/>
  <c r="H555" i="12" l="1"/>
  <c r="G556" i="12"/>
  <c r="H556" i="12" l="1"/>
  <c r="G557" i="12"/>
  <c r="G558" i="12" l="1"/>
  <c r="H557" i="12"/>
  <c r="H558" i="12" l="1"/>
  <c r="G559" i="12"/>
  <c r="H559" i="12" l="1"/>
  <c r="G560" i="12"/>
  <c r="G561" i="12" l="1"/>
  <c r="H560" i="12"/>
  <c r="H561" i="12" l="1"/>
  <c r="G562" i="12"/>
  <c r="H562" i="12" l="1"/>
  <c r="G563" i="12"/>
  <c r="G564" i="12" l="1"/>
  <c r="H563" i="12"/>
  <c r="H564" i="12" l="1"/>
  <c r="G565" i="12"/>
  <c r="H565" i="12" l="1"/>
  <c r="G566" i="12"/>
  <c r="G567" i="12" l="1"/>
  <c r="H566" i="12"/>
  <c r="H567" i="12" l="1"/>
  <c r="G568" i="12"/>
  <c r="H568" i="12" l="1"/>
  <c r="G569" i="12"/>
  <c r="G570" i="12" l="1"/>
  <c r="H569" i="12"/>
  <c r="H570" i="12" l="1"/>
  <c r="G571" i="12"/>
  <c r="H571" i="12" l="1"/>
  <c r="G572" i="12"/>
  <c r="G573" i="12" l="1"/>
  <c r="H572" i="12"/>
  <c r="H573" i="12" l="1"/>
  <c r="G574" i="12"/>
  <c r="H574" i="12" l="1"/>
  <c r="G575" i="12"/>
  <c r="G576" i="12" l="1"/>
  <c r="H575" i="12"/>
  <c r="G577" i="12" l="1"/>
  <c r="H576" i="12"/>
  <c r="H577" i="12" l="1"/>
  <c r="G578" i="12"/>
  <c r="H578" i="12" s="1"/>
</calcChain>
</file>

<file path=xl/sharedStrings.xml><?xml version="1.0" encoding="utf-8"?>
<sst xmlns="http://schemas.openxmlformats.org/spreadsheetml/2006/main" count="992" uniqueCount="145">
  <si>
    <t>Expense</t>
  </si>
  <si>
    <t>Amount per installment</t>
  </si>
  <si>
    <t>No. of installments</t>
  </si>
  <si>
    <t>Amount(in $)</t>
  </si>
  <si>
    <t>Amount(in Rs.)</t>
  </si>
  <si>
    <t>1st year</t>
  </si>
  <si>
    <t>2nd year</t>
  </si>
  <si>
    <t>Recover</t>
  </si>
  <si>
    <t>in 2 years</t>
  </si>
  <si>
    <t>Loan amt.</t>
  </si>
  <si>
    <t>To earn</t>
  </si>
  <si>
    <t>AUD</t>
  </si>
  <si>
    <t>Earned(in $)</t>
  </si>
  <si>
    <t>Interest rate</t>
  </si>
  <si>
    <t>Grocery</t>
  </si>
  <si>
    <t>Earned(in Rs.)</t>
  </si>
  <si>
    <t>Hours</t>
  </si>
  <si>
    <t>Hourly rate($)</t>
  </si>
  <si>
    <t>Clothes</t>
  </si>
  <si>
    <t>Travel</t>
  </si>
  <si>
    <t>Flight</t>
  </si>
  <si>
    <t>Visa charges</t>
  </si>
  <si>
    <t>Total</t>
  </si>
  <si>
    <t>Weekly amount</t>
  </si>
  <si>
    <t>Tuition fees</t>
  </si>
  <si>
    <t>W. A. in Rs.</t>
  </si>
  <si>
    <t>Necessary</t>
  </si>
  <si>
    <t>Yearly necessary</t>
  </si>
  <si>
    <t>Monthly</t>
  </si>
  <si>
    <t>M. A. in Rs.</t>
  </si>
  <si>
    <t>amount</t>
  </si>
  <si>
    <t>interest</t>
  </si>
  <si>
    <t>value</t>
  </si>
  <si>
    <t>withdraw</t>
  </si>
  <si>
    <t>add</t>
  </si>
  <si>
    <t>new amount</t>
  </si>
  <si>
    <t>new amount n</t>
  </si>
  <si>
    <t>value n</t>
  </si>
  <si>
    <t>max</t>
  </si>
  <si>
    <t>Amount($)</t>
  </si>
  <si>
    <t>Ielts coaching</t>
  </si>
  <si>
    <t>Ielts exam</t>
  </si>
  <si>
    <t>Passport</t>
  </si>
  <si>
    <t>Amount(Rs.)</t>
  </si>
  <si>
    <t>AUD($)</t>
  </si>
  <si>
    <t>Fees</t>
  </si>
  <si>
    <t>N/A</t>
  </si>
  <si>
    <t>Government tax</t>
  </si>
  <si>
    <t>Date</t>
  </si>
  <si>
    <t>Year</t>
  </si>
  <si>
    <t xml:space="preserve"> </t>
  </si>
  <si>
    <t>Affidavit</t>
  </si>
  <si>
    <t>Documents update</t>
  </si>
  <si>
    <t>Net worth Certificate</t>
  </si>
  <si>
    <t>Loan Insurance</t>
  </si>
  <si>
    <t>Min. Balance</t>
  </si>
  <si>
    <t>Medical</t>
  </si>
  <si>
    <t>OSHC</t>
  </si>
  <si>
    <t>Bag</t>
  </si>
  <si>
    <t>Visa</t>
  </si>
  <si>
    <t>Course</t>
  </si>
  <si>
    <t>Luggage</t>
  </si>
  <si>
    <t>Pendrive</t>
  </si>
  <si>
    <t>Vaccum bags</t>
  </si>
  <si>
    <t>Specs</t>
  </si>
  <si>
    <t>Zudio</t>
  </si>
  <si>
    <t>Clothes(Suvidha)</t>
  </si>
  <si>
    <t>Clothes(R.Tape)</t>
  </si>
  <si>
    <t>Forex card</t>
  </si>
  <si>
    <t>Currency</t>
  </si>
  <si>
    <t>Accessories</t>
  </si>
  <si>
    <t>Blazer</t>
  </si>
  <si>
    <t>T-Shirts</t>
  </si>
  <si>
    <t>Clothes(Kapsons)</t>
  </si>
  <si>
    <t>Shoes</t>
  </si>
  <si>
    <t>Room Accessories</t>
  </si>
  <si>
    <t>Jockey</t>
  </si>
  <si>
    <t>Stamp</t>
  </si>
  <si>
    <t>Cap(Puma)</t>
  </si>
  <si>
    <t>Shorts(Puma)</t>
  </si>
  <si>
    <t>Medicines</t>
  </si>
  <si>
    <t>Neck pillow</t>
  </si>
  <si>
    <t>Mask</t>
  </si>
  <si>
    <t>Bond</t>
  </si>
  <si>
    <t>Duty free</t>
  </si>
  <si>
    <t>Rent</t>
  </si>
  <si>
    <t>Optus</t>
  </si>
  <si>
    <t>Ssaf</t>
  </si>
  <si>
    <t>Week</t>
  </si>
  <si>
    <t>optus</t>
  </si>
  <si>
    <t>Loan Int.</t>
  </si>
  <si>
    <t>Amount</t>
  </si>
  <si>
    <t>Time(in hours.min)</t>
  </si>
  <si>
    <t>Savings Spent</t>
  </si>
  <si>
    <t>Tax paid</t>
  </si>
  <si>
    <t>Month</t>
  </si>
  <si>
    <t>Savings Returned</t>
  </si>
  <si>
    <t>Bank Deposit</t>
  </si>
  <si>
    <t>In savings</t>
  </si>
  <si>
    <t>AUD$ (after tax)</t>
  </si>
  <si>
    <t>Gift</t>
  </si>
  <si>
    <t>Loan amount</t>
  </si>
  <si>
    <t>Employer</t>
  </si>
  <si>
    <t>McD</t>
  </si>
  <si>
    <t>Spark</t>
  </si>
  <si>
    <t>Tax refund</t>
  </si>
  <si>
    <t>Eat out</t>
  </si>
  <si>
    <t>Shopping</t>
  </si>
  <si>
    <t>Miscellaneous</t>
  </si>
  <si>
    <t>Misc</t>
  </si>
  <si>
    <t>Paid through</t>
  </si>
  <si>
    <t>Fam</t>
  </si>
  <si>
    <t>Me</t>
  </si>
  <si>
    <t>Loan</t>
  </si>
  <si>
    <t>Party</t>
  </si>
  <si>
    <t>Spend</t>
  </si>
  <si>
    <t>Quota</t>
  </si>
  <si>
    <t>left</t>
  </si>
  <si>
    <t>Budget</t>
  </si>
  <si>
    <t>Days</t>
  </si>
  <si>
    <t>None</t>
  </si>
  <si>
    <t>none</t>
  </si>
  <si>
    <t>Average daily food</t>
  </si>
  <si>
    <t xml:space="preserve">Total </t>
  </si>
  <si>
    <t>Row Labels</t>
  </si>
  <si>
    <t>Grand Total</t>
  </si>
  <si>
    <t>Sum of M. A. in Rs.</t>
  </si>
  <si>
    <t>2023</t>
  </si>
  <si>
    <t>2024</t>
  </si>
  <si>
    <t>2022</t>
  </si>
  <si>
    <t>Sum of Amount($)</t>
  </si>
  <si>
    <t>Oct</t>
  </si>
  <si>
    <t>Feb</t>
  </si>
  <si>
    <t>Mar</t>
  </si>
  <si>
    <t>Apr</t>
  </si>
  <si>
    <t>May</t>
  </si>
  <si>
    <t>Jun</t>
  </si>
  <si>
    <t>Jul</t>
  </si>
  <si>
    <t>Aug</t>
  </si>
  <si>
    <t>Sep</t>
  </si>
  <si>
    <t>Nov</t>
  </si>
  <si>
    <t>Dec</t>
  </si>
  <si>
    <t>Sum of Amount(Rs.)</t>
  </si>
  <si>
    <t>Sum of Spend</t>
  </si>
  <si>
    <t>Jan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</si>
</sst>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8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6"/>
      <color theme="4" tint="-0.499984740745262"/>
      <name val="Calibri"/>
      <family val="2"/>
      <scheme val="minor"/>
    </font>
    <font>
      <sz val="16"/>
      <color theme="4" tint="-0.499984740745262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6"/>
      <color theme="8" tint="-0.249977111117893"/>
      <name val="Calibri"/>
      <family val="2"/>
      <scheme val="minor"/>
    </font>
    <font>
      <sz val="16"/>
      <color theme="5" tint="-0.249977111117893"/>
      <name val="Calibri"/>
      <family val="2"/>
      <scheme val="minor"/>
    </font>
    <font>
      <sz val="16"/>
      <color theme="0" tint="-0.499984740745262"/>
      <name val="Calibri"/>
      <family val="2"/>
      <scheme val="minor"/>
    </font>
    <font>
      <sz val="16"/>
      <color rgb="FF7030A0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A64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3" fillId="0" borderId="4" xfId="0" applyFont="1" applyBorder="1"/>
    <xf numFmtId="0" fontId="4" fillId="0" borderId="6" xfId="0" applyFont="1" applyBorder="1"/>
    <xf numFmtId="1" fontId="4" fillId="0" borderId="5" xfId="0" applyNumberFormat="1" applyFont="1" applyBorder="1"/>
    <xf numFmtId="0" fontId="3" fillId="0" borderId="0" xfId="0" applyFont="1"/>
    <xf numFmtId="0" fontId="1" fillId="0" borderId="0" xfId="0" applyFont="1"/>
    <xf numFmtId="0" fontId="3" fillId="0" borderId="7" xfId="0" applyFont="1" applyBorder="1"/>
    <xf numFmtId="1" fontId="4" fillId="0" borderId="8" xfId="0" applyNumberFormat="1" applyFont="1" applyBorder="1"/>
    <xf numFmtId="0" fontId="4" fillId="0" borderId="0" xfId="0" applyFont="1"/>
    <xf numFmtId="0" fontId="4" fillId="0" borderId="8" xfId="0" applyFont="1" applyBorder="1"/>
    <xf numFmtId="0" fontId="3" fillId="0" borderId="9" xfId="0" applyFont="1" applyBorder="1"/>
    <xf numFmtId="0" fontId="4" fillId="0" borderId="10" xfId="0" applyFont="1" applyBorder="1"/>
    <xf numFmtId="0" fontId="4" fillId="0" borderId="10" xfId="0" applyFont="1" applyBorder="1" applyAlignment="1">
      <alignment horizontal="right"/>
    </xf>
    <xf numFmtId="0" fontId="4" fillId="0" borderId="11" xfId="0" applyFont="1" applyBorder="1"/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0" fontId="1" fillId="0" borderId="15" xfId="0" applyFont="1" applyBorder="1"/>
    <xf numFmtId="1" fontId="1" fillId="0" borderId="15" xfId="0" applyNumberFormat="1" applyFont="1" applyBorder="1"/>
    <xf numFmtId="0" fontId="0" fillId="0" borderId="15" xfId="0" applyBorder="1"/>
    <xf numFmtId="1" fontId="0" fillId="0" borderId="15" xfId="0" applyNumberFormat="1" applyBorder="1"/>
    <xf numFmtId="0" fontId="5" fillId="0" borderId="12" xfId="0" applyFont="1" applyBorder="1" applyAlignment="1">
      <alignment wrapText="1"/>
    </xf>
    <xf numFmtId="0" fontId="5" fillId="0" borderId="12" xfId="0" applyFont="1" applyBorder="1"/>
    <xf numFmtId="0" fontId="6" fillId="0" borderId="26" xfId="0" applyFont="1" applyBorder="1" applyAlignment="1">
      <alignment wrapText="1"/>
    </xf>
    <xf numFmtId="0" fontId="6" fillId="0" borderId="26" xfId="0" applyFont="1" applyBorder="1"/>
    <xf numFmtId="0" fontId="6" fillId="0" borderId="15" xfId="0" applyFont="1" applyBorder="1"/>
    <xf numFmtId="0" fontId="6" fillId="0" borderId="24" xfId="0" applyFont="1" applyBorder="1"/>
    <xf numFmtId="0" fontId="4" fillId="0" borderId="5" xfId="0" applyFont="1" applyBorder="1"/>
    <xf numFmtId="9" fontId="4" fillId="0" borderId="0" xfId="0" applyNumberFormat="1" applyFont="1"/>
    <xf numFmtId="0" fontId="6" fillId="0" borderId="27" xfId="0" applyFont="1" applyBorder="1"/>
    <xf numFmtId="0" fontId="6" fillId="0" borderId="16" xfId="0" applyFont="1" applyBorder="1"/>
    <xf numFmtId="0" fontId="6" fillId="0" borderId="28" xfId="0" applyFont="1" applyBorder="1"/>
    <xf numFmtId="0" fontId="6" fillId="0" borderId="30" xfId="0" applyFont="1" applyBorder="1"/>
    <xf numFmtId="0" fontId="5" fillId="0" borderId="15" xfId="0" applyFont="1" applyBorder="1"/>
    <xf numFmtId="0" fontId="5" fillId="0" borderId="0" xfId="0" applyFont="1"/>
    <xf numFmtId="0" fontId="0" fillId="0" borderId="30" xfId="0" applyBorder="1"/>
    <xf numFmtId="0" fontId="7" fillId="0" borderId="0" xfId="0" applyFont="1"/>
    <xf numFmtId="14" fontId="0" fillId="0" borderId="0" xfId="0" applyNumberFormat="1"/>
    <xf numFmtId="2" fontId="0" fillId="0" borderId="15" xfId="0" applyNumberFormat="1" applyBorder="1"/>
    <xf numFmtId="16" fontId="0" fillId="0" borderId="15" xfId="0" applyNumberFormat="1" applyBorder="1"/>
    <xf numFmtId="0" fontId="9" fillId="0" borderId="15" xfId="0" applyFont="1" applyBorder="1"/>
    <xf numFmtId="0" fontId="12" fillId="2" borderId="15" xfId="0" applyFont="1" applyFill="1" applyBorder="1"/>
    <xf numFmtId="16" fontId="11" fillId="2" borderId="15" xfId="0" applyNumberFormat="1" applyFont="1" applyFill="1" applyBorder="1"/>
    <xf numFmtId="0" fontId="11" fillId="2" borderId="15" xfId="0" applyFont="1" applyFill="1" applyBorder="1"/>
    <xf numFmtId="16" fontId="8" fillId="3" borderId="15" xfId="0" applyNumberFormat="1" applyFont="1" applyFill="1" applyBorder="1"/>
    <xf numFmtId="0" fontId="8" fillId="3" borderId="15" xfId="0" applyFont="1" applyFill="1" applyBorder="1"/>
    <xf numFmtId="16" fontId="10" fillId="4" borderId="15" xfId="0" applyNumberFormat="1" applyFont="1" applyFill="1" applyBorder="1"/>
    <xf numFmtId="0" fontId="10" fillId="4" borderId="15" xfId="0" applyFont="1" applyFill="1" applyBorder="1"/>
    <xf numFmtId="0" fontId="1" fillId="2" borderId="15" xfId="0" applyFont="1" applyFill="1" applyBorder="1"/>
    <xf numFmtId="0" fontId="1" fillId="5" borderId="15" xfId="0" applyFont="1" applyFill="1" applyBorder="1"/>
    <xf numFmtId="10" fontId="0" fillId="5" borderId="15" xfId="0" applyNumberFormat="1" applyFill="1" applyBorder="1"/>
    <xf numFmtId="164" fontId="0" fillId="5" borderId="15" xfId="0" applyNumberFormat="1" applyFill="1" applyBorder="1"/>
    <xf numFmtId="9" fontId="0" fillId="5" borderId="15" xfId="0" applyNumberFormat="1" applyFill="1" applyBorder="1"/>
    <xf numFmtId="0" fontId="0" fillId="5" borderId="15" xfId="0" applyFill="1" applyBorder="1"/>
    <xf numFmtId="0" fontId="1" fillId="6" borderId="15" xfId="0" applyFont="1" applyFill="1" applyBorder="1"/>
    <xf numFmtId="0" fontId="1" fillId="7" borderId="15" xfId="0" applyFont="1" applyFill="1" applyBorder="1"/>
    <xf numFmtId="0" fontId="1" fillId="2" borderId="16" xfId="0" applyFont="1" applyFill="1" applyBorder="1"/>
    <xf numFmtId="0" fontId="1" fillId="2" borderId="17" xfId="0" applyFont="1" applyFill="1" applyBorder="1"/>
    <xf numFmtId="0" fontId="1" fillId="2" borderId="19" xfId="0" applyFont="1" applyFill="1" applyBorder="1"/>
    <xf numFmtId="0" fontId="1" fillId="2" borderId="21" xfId="0" applyFont="1" applyFill="1" applyBorder="1"/>
    <xf numFmtId="0" fontId="1" fillId="2" borderId="18" xfId="0" applyFont="1" applyFill="1" applyBorder="1"/>
    <xf numFmtId="0" fontId="1" fillId="2" borderId="22" xfId="0" applyFont="1" applyFill="1" applyBorder="1"/>
    <xf numFmtId="0" fontId="1" fillId="8" borderId="18" xfId="0" applyFont="1" applyFill="1" applyBorder="1"/>
    <xf numFmtId="10" fontId="0" fillId="8" borderId="15" xfId="0" applyNumberFormat="1" applyFill="1" applyBorder="1"/>
    <xf numFmtId="0" fontId="0" fillId="8" borderId="15" xfId="0" applyFill="1" applyBorder="1"/>
    <xf numFmtId="0" fontId="0" fillId="8" borderId="22" xfId="0" applyFill="1" applyBorder="1"/>
    <xf numFmtId="0" fontId="1" fillId="6" borderId="20" xfId="0" applyFont="1" applyFill="1" applyBorder="1"/>
    <xf numFmtId="0" fontId="1" fillId="6" borderId="16" xfId="0" applyFont="1" applyFill="1" applyBorder="1"/>
    <xf numFmtId="0" fontId="1" fillId="6" borderId="23" xfId="0" applyFont="1" applyFill="1" applyBorder="1"/>
    <xf numFmtId="0" fontId="1" fillId="9" borderId="15" xfId="0" applyFont="1" applyFill="1" applyBorder="1"/>
    <xf numFmtId="0" fontId="0" fillId="9" borderId="15" xfId="0" applyFill="1" applyBorder="1"/>
    <xf numFmtId="0" fontId="1" fillId="6" borderId="32" xfId="0" applyFont="1" applyFill="1" applyBorder="1"/>
    <xf numFmtId="10" fontId="0" fillId="9" borderId="15" xfId="0" applyNumberFormat="1" applyFill="1" applyBorder="1"/>
    <xf numFmtId="17" fontId="0" fillId="0" borderId="0" xfId="0" applyNumberFormat="1"/>
    <xf numFmtId="16" fontId="8" fillId="3" borderId="0" xfId="0" applyNumberFormat="1" applyFont="1" applyFill="1"/>
    <xf numFmtId="0" fontId="8" fillId="3" borderId="0" xfId="0" applyFont="1" applyFill="1"/>
    <xf numFmtId="16" fontId="10" fillId="4" borderId="0" xfId="0" applyNumberFormat="1" applyFont="1" applyFill="1"/>
    <xf numFmtId="0" fontId="10" fillId="4" borderId="0" xfId="0" applyFont="1" applyFill="1"/>
    <xf numFmtId="0" fontId="0" fillId="10" borderId="15" xfId="0" applyFill="1" applyBorder="1"/>
    <xf numFmtId="0" fontId="14" fillId="0" borderId="0" xfId="0" applyFont="1"/>
    <xf numFmtId="16" fontId="1" fillId="0" borderId="15" xfId="0" applyNumberFormat="1" applyFont="1" applyBorder="1"/>
    <xf numFmtId="0" fontId="5" fillId="0" borderId="15" xfId="0" applyFont="1" applyBorder="1" applyAlignment="1">
      <alignment wrapText="1"/>
    </xf>
    <xf numFmtId="16" fontId="1" fillId="0" borderId="0" xfId="0" applyNumberFormat="1" applyFont="1"/>
    <xf numFmtId="0" fontId="15" fillId="0" borderId="0" xfId="0" applyFont="1"/>
    <xf numFmtId="0" fontId="15" fillId="0" borderId="15" xfId="0" applyFont="1" applyBorder="1"/>
    <xf numFmtId="0" fontId="6" fillId="0" borderId="0" xfId="0" applyFont="1"/>
    <xf numFmtId="0" fontId="5" fillId="0" borderId="30" xfId="0" applyFont="1" applyBorder="1"/>
    <xf numFmtId="14" fontId="6" fillId="0" borderId="15" xfId="0" applyNumberFormat="1" applyFont="1" applyBorder="1"/>
    <xf numFmtId="14" fontId="5" fillId="0" borderId="4" xfId="0" applyNumberFormat="1" applyFont="1" applyBorder="1"/>
    <xf numFmtId="14" fontId="6" fillId="0" borderId="24" xfId="0" applyNumberFormat="1" applyFont="1" applyBorder="1"/>
    <xf numFmtId="14" fontId="6" fillId="0" borderId="26" xfId="0" applyNumberFormat="1" applyFont="1" applyBorder="1"/>
    <xf numFmtId="14" fontId="6" fillId="0" borderId="31" xfId="0" applyNumberFormat="1" applyFont="1" applyBorder="1"/>
    <xf numFmtId="0" fontId="16" fillId="0" borderId="0" xfId="0" applyFont="1"/>
    <xf numFmtId="0" fontId="17" fillId="0" borderId="15" xfId="0" applyFont="1" applyBorder="1"/>
    <xf numFmtId="0" fontId="17" fillId="0" borderId="30" xfId="0" applyFont="1" applyBorder="1"/>
    <xf numFmtId="0" fontId="18" fillId="0" borderId="15" xfId="0" applyFont="1" applyBorder="1"/>
    <xf numFmtId="16" fontId="18" fillId="0" borderId="15" xfId="0" applyNumberFormat="1" applyFont="1" applyBorder="1"/>
    <xf numFmtId="0" fontId="19" fillId="0" borderId="15" xfId="0" applyFont="1" applyBorder="1"/>
    <xf numFmtId="0" fontId="20" fillId="0" borderId="0" xfId="0" applyFont="1"/>
    <xf numFmtId="0" fontId="20" fillId="0" borderId="15" xfId="0" applyFont="1" applyBorder="1"/>
    <xf numFmtId="0" fontId="21" fillId="0" borderId="15" xfId="0" applyFont="1" applyBorder="1"/>
    <xf numFmtId="16" fontId="21" fillId="0" borderId="15" xfId="0" applyNumberFormat="1" applyFont="1" applyBorder="1"/>
    <xf numFmtId="0" fontId="22" fillId="0" borderId="15" xfId="0" applyFont="1" applyBorder="1"/>
    <xf numFmtId="16" fontId="22" fillId="0" borderId="15" xfId="0" applyNumberFormat="1" applyFont="1" applyBorder="1"/>
    <xf numFmtId="16" fontId="23" fillId="0" borderId="15" xfId="0" applyNumberFormat="1" applyFont="1" applyBorder="1"/>
    <xf numFmtId="0" fontId="23" fillId="0" borderId="15" xfId="0" applyFont="1" applyBorder="1"/>
    <xf numFmtId="16" fontId="24" fillId="0" borderId="15" xfId="0" applyNumberFormat="1" applyFont="1" applyBorder="1"/>
    <xf numFmtId="0" fontId="24" fillId="0" borderId="15" xfId="0" applyFont="1" applyBorder="1"/>
    <xf numFmtId="16" fontId="24" fillId="0" borderId="0" xfId="0" applyNumberFormat="1" applyFont="1"/>
    <xf numFmtId="0" fontId="24" fillId="0" borderId="0" xfId="0" applyFont="1"/>
    <xf numFmtId="0" fontId="25" fillId="0" borderId="15" xfId="0" applyFont="1" applyBorder="1"/>
    <xf numFmtId="0" fontId="26" fillId="0" borderId="15" xfId="0" applyFont="1" applyBorder="1"/>
    <xf numFmtId="0" fontId="9" fillId="0" borderId="0" xfId="0" applyFont="1"/>
    <xf numFmtId="2" fontId="9" fillId="0" borderId="0" xfId="0" applyNumberFormat="1" applyFont="1"/>
    <xf numFmtId="0" fontId="6" fillId="0" borderId="25" xfId="0" applyFont="1" applyBorder="1"/>
    <xf numFmtId="0" fontId="6" fillId="0" borderId="14" xfId="0" applyFont="1" applyBorder="1"/>
    <xf numFmtId="0" fontId="6" fillId="0" borderId="29" xfId="0" applyFont="1" applyBorder="1"/>
    <xf numFmtId="14" fontId="10" fillId="0" borderId="15" xfId="0" applyNumberFormat="1" applyFont="1" applyBorder="1"/>
    <xf numFmtId="16" fontId="6" fillId="0" borderId="31" xfId="0" applyNumberFormat="1" applyFont="1" applyBorder="1"/>
    <xf numFmtId="14" fontId="6" fillId="0" borderId="30" xfId="0" applyNumberFormat="1" applyFont="1" applyBorder="1"/>
    <xf numFmtId="0" fontId="2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" fontId="6" fillId="0" borderId="28" xfId="0" applyNumberFormat="1" applyFont="1" applyBorder="1"/>
    <xf numFmtId="0" fontId="0" fillId="0" borderId="0" xfId="0" applyAlignment="1">
      <alignment horizontal="center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D6E3B5"/>
      <color rgb="FFFA6460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[personal expense book main.xlsm]Dashboard!PivotTable1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Expected Expense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Dashboard!$A$2:$A$7</c:f>
              <c:strCache>
                <c:ptCount val="5"/>
                <c:pt idx="0">
                  <c:v>Eat out</c:v>
                </c:pt>
                <c:pt idx="1">
                  <c:v>Grocery</c:v>
                </c:pt>
                <c:pt idx="2">
                  <c:v>Miscellaneous</c:v>
                </c:pt>
                <c:pt idx="3">
                  <c:v>Rent</c:v>
                </c:pt>
                <c:pt idx="4">
                  <c:v>Tuition fees</c:v>
                </c:pt>
              </c:strCache>
            </c:strRef>
          </c:cat>
          <c:val>
            <c:numRef>
              <c:f>Dashboard!$B$2:$B$7</c:f>
              <c:numCache>
                <c:formatCode>General</c:formatCode>
                <c:ptCount val="5"/>
                <c:pt idx="0">
                  <c:v>12375</c:v>
                </c:pt>
                <c:pt idx="1">
                  <c:v>12375</c:v>
                </c:pt>
                <c:pt idx="2">
                  <c:v>27500</c:v>
                </c:pt>
                <c:pt idx="3">
                  <c:v>59583.333333333328</c:v>
                </c:pt>
                <c:pt idx="4">
                  <c:v>143000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13-477D-A091-7E9D3AF249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3799120"/>
        <c:axId val="913798160"/>
      </c:barChart>
      <c:catAx>
        <c:axId val="913799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798160"/>
        <c:crosses val="autoZero"/>
        <c:auto val="1"/>
        <c:lblAlgn val="ctr"/>
        <c:lblOffset val="100"/>
        <c:noMultiLvlLbl val="0"/>
      </c:catAx>
      <c:valAx>
        <c:axId val="91379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799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[personal expense book main.xlsm]Dashboard!PivotTable2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Monthly</a:t>
            </a:r>
            <a:r>
              <a:rPr lang="en-US" baseline="0"/>
              <a:t> expense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Dashboard!$B$19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Dashboard!$A$20:$A$38</c:f>
              <c:multiLvlStrCache>
                <c:ptCount val="15"/>
                <c:lvl>
                  <c:pt idx="0">
                    <c:v>Oct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Feb</c:v>
                  </c:pt>
                  <c:pt idx="13">
                    <c:v>May</c:v>
                  </c:pt>
                  <c:pt idx="14">
                    <c:v>Jun</c:v>
                  </c:pt>
                </c:lvl>
                <c:lvl>
                  <c:pt idx="0">
                    <c:v>2022</c:v>
                  </c:pt>
                  <c:pt idx="1">
                    <c:v>2023</c:v>
                  </c:pt>
                  <c:pt idx="12">
                    <c:v>2024</c:v>
                  </c:pt>
                </c:lvl>
              </c:multiLvlStrCache>
            </c:multiLvlStrRef>
          </c:cat>
          <c:val>
            <c:numRef>
              <c:f>Dashboard!$B$20:$B$38</c:f>
              <c:numCache>
                <c:formatCode>General</c:formatCode>
                <c:ptCount val="15"/>
                <c:pt idx="0">
                  <c:v>0</c:v>
                </c:pt>
                <c:pt idx="1">
                  <c:v>516.79999999999995</c:v>
                </c:pt>
                <c:pt idx="2">
                  <c:v>81.3</c:v>
                </c:pt>
                <c:pt idx="3">
                  <c:v>1028.7800000000002</c:v>
                </c:pt>
                <c:pt idx="4">
                  <c:v>859.49</c:v>
                </c:pt>
                <c:pt idx="5">
                  <c:v>898.74</c:v>
                </c:pt>
                <c:pt idx="6">
                  <c:v>951.5</c:v>
                </c:pt>
                <c:pt idx="7">
                  <c:v>1437.08</c:v>
                </c:pt>
                <c:pt idx="8">
                  <c:v>885.2</c:v>
                </c:pt>
                <c:pt idx="9">
                  <c:v>1005.45</c:v>
                </c:pt>
                <c:pt idx="10">
                  <c:v>2637</c:v>
                </c:pt>
                <c:pt idx="11">
                  <c:v>1296</c:v>
                </c:pt>
                <c:pt idx="12">
                  <c:v>2300</c:v>
                </c:pt>
                <c:pt idx="13">
                  <c:v>5329</c:v>
                </c:pt>
                <c:pt idx="14">
                  <c:v>1564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1F-44D1-873C-5965A181062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12348352"/>
        <c:axId val="1137451648"/>
      </c:lineChart>
      <c:catAx>
        <c:axId val="111234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7451648"/>
        <c:crosses val="autoZero"/>
        <c:auto val="1"/>
        <c:lblAlgn val="ctr"/>
        <c:lblOffset val="100"/>
        <c:noMultiLvlLbl val="0"/>
      </c:catAx>
      <c:valAx>
        <c:axId val="113745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2348352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[personal expense book main.xlsm]Dashboard!PivotTable3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Fees payment (mE$)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4472C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4472C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none"/>
        </c:marker>
        <c:dLbl>
          <c:idx val="0"/>
          <c:spPr>
            <a:solidFill>
              <a:srgbClr val="4472C4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Dashboard!$B$43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none"/>
          </c:marker>
          <c:dLbls>
            <c:spPr>
              <a:solidFill>
                <a:srgbClr val="4472C4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Dashboard!$A$44:$A$53</c:f>
              <c:multiLvlStrCache>
                <c:ptCount val="6"/>
                <c:lvl>
                  <c:pt idx="0">
                    <c:v>Oct</c:v>
                  </c:pt>
                  <c:pt idx="1">
                    <c:v>Jun</c:v>
                  </c:pt>
                  <c:pt idx="2">
                    <c:v>Jul</c:v>
                  </c:pt>
                  <c:pt idx="3">
                    <c:v>Oct</c:v>
                  </c:pt>
                  <c:pt idx="4">
                    <c:v>Mar</c:v>
                  </c:pt>
                  <c:pt idx="5">
                    <c:v>Oct</c:v>
                  </c:pt>
                </c:lvl>
                <c:lvl>
                  <c:pt idx="0">
                    <c:v>2022</c:v>
                  </c:pt>
                  <c:pt idx="1">
                    <c:v>2023</c:v>
                  </c:pt>
                  <c:pt idx="4">
                    <c:v>2024</c:v>
                  </c:pt>
                </c:lvl>
              </c:multiLvlStrCache>
            </c:multiLvlStrRef>
          </c:cat>
          <c:val>
            <c:numRef>
              <c:f>Dashboard!$B$44:$B$53</c:f>
              <c:numCache>
                <c:formatCode>General</c:formatCode>
                <c:ptCount val="6"/>
                <c:pt idx="0">
                  <c:v>0</c:v>
                </c:pt>
                <c:pt idx="1">
                  <c:v>2522.8000000000002</c:v>
                </c:pt>
                <c:pt idx="2">
                  <c:v>0</c:v>
                </c:pt>
                <c:pt idx="3">
                  <c:v>163.19999999999999</c:v>
                </c:pt>
                <c:pt idx="4">
                  <c:v>5549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8C1-4FCD-97AF-9547375A907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smooth val="0"/>
        <c:axId val="1108461376"/>
        <c:axId val="1108459456"/>
      </c:lineChart>
      <c:catAx>
        <c:axId val="110846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8459456"/>
        <c:crosses val="autoZero"/>
        <c:auto val="1"/>
        <c:lblAlgn val="ctr"/>
        <c:lblOffset val="100"/>
        <c:noMultiLvlLbl val="0"/>
      </c:catAx>
      <c:valAx>
        <c:axId val="11084594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08461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[personal expense book main.xlsm]Dashboard!PivotTable4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Fees paymet</a:t>
            </a:r>
            <a:r>
              <a:rPr lang="en-US" baseline="0"/>
              <a:t> (Rs.)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Dashboard!$B$58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Dashboard!$A$59:$A$68</c:f>
              <c:multiLvlStrCache>
                <c:ptCount val="6"/>
                <c:lvl>
                  <c:pt idx="0">
                    <c:v>Oct</c:v>
                  </c:pt>
                  <c:pt idx="1">
                    <c:v>Jun</c:v>
                  </c:pt>
                  <c:pt idx="2">
                    <c:v>Jul</c:v>
                  </c:pt>
                  <c:pt idx="3">
                    <c:v>Oct</c:v>
                  </c:pt>
                  <c:pt idx="4">
                    <c:v>Mar</c:v>
                  </c:pt>
                  <c:pt idx="5">
                    <c:v>Oct</c:v>
                  </c:pt>
                </c:lvl>
                <c:lvl>
                  <c:pt idx="0">
                    <c:v>2022</c:v>
                  </c:pt>
                  <c:pt idx="1">
                    <c:v>2023</c:v>
                  </c:pt>
                  <c:pt idx="4">
                    <c:v>2024</c:v>
                  </c:pt>
                </c:lvl>
              </c:multiLvlStrCache>
            </c:multiLvlStrRef>
          </c:cat>
          <c:val>
            <c:numRef>
              <c:f>Dashboard!$B$59:$B$68</c:f>
              <c:numCache>
                <c:formatCode>General</c:formatCode>
                <c:ptCount val="6"/>
                <c:pt idx="0">
                  <c:v>820930</c:v>
                </c:pt>
                <c:pt idx="1">
                  <c:v>0</c:v>
                </c:pt>
                <c:pt idx="2">
                  <c:v>717937</c:v>
                </c:pt>
                <c:pt idx="3">
                  <c:v>0</c:v>
                </c:pt>
                <c:pt idx="4">
                  <c:v>576048</c:v>
                </c:pt>
                <c:pt idx="5">
                  <c:v>100000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83-4DE6-930D-BD11DB3358C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09250640"/>
        <c:axId val="1209254960"/>
      </c:lineChart>
      <c:catAx>
        <c:axId val="120925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9254960"/>
        <c:crosses val="autoZero"/>
        <c:auto val="1"/>
        <c:lblAlgn val="ctr"/>
        <c:lblOffset val="100"/>
        <c:noMultiLvlLbl val="0"/>
      </c:catAx>
      <c:valAx>
        <c:axId val="120925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925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[personal expense book main.xlsm]Dashboard!PivotTable5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IN"/>
              <a:t>Food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ivotFmts>
      <c:pivotFmt>
        <c:idx val="0"/>
        <c:spPr>
          <a:ln w="222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Dashboard!$B$74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Dashboard!$A$75:$A$94</c:f>
              <c:multiLvlStrCache>
                <c:ptCount val="17"/>
                <c:lvl>
                  <c:pt idx="0">
                    <c:v>Feb</c:v>
                  </c:pt>
                  <c:pt idx="1">
                    <c:v>Mar</c:v>
                  </c:pt>
                  <c:pt idx="2">
                    <c:v>Apr</c:v>
                  </c:pt>
                  <c:pt idx="3">
                    <c:v>May</c:v>
                  </c:pt>
                  <c:pt idx="4">
                    <c:v>Jun</c:v>
                  </c:pt>
                  <c:pt idx="5">
                    <c:v>Jul</c:v>
                  </c:pt>
                  <c:pt idx="6">
                    <c:v>Aug</c:v>
                  </c:pt>
                  <c:pt idx="7">
                    <c:v>Sep</c:v>
                  </c:pt>
                  <c:pt idx="8">
                    <c:v>Oct</c:v>
                  </c:pt>
                  <c:pt idx="9">
                    <c:v>Nov</c:v>
                  </c:pt>
                  <c:pt idx="10">
                    <c:v>Dec</c:v>
                  </c:pt>
                  <c:pt idx="11">
                    <c:v>Jan</c:v>
                  </c:pt>
                  <c:pt idx="12">
                    <c:v>Feb</c:v>
                  </c:pt>
                  <c:pt idx="13">
                    <c:v>Mar</c:v>
                  </c:pt>
                  <c:pt idx="14">
                    <c:v>Apr</c:v>
                  </c:pt>
                  <c:pt idx="15">
                    <c:v>May</c:v>
                  </c:pt>
                  <c:pt idx="16">
                    <c:v>Jun</c:v>
                  </c:pt>
                </c:lvl>
                <c:lvl>
                  <c:pt idx="0">
                    <c:v>2023</c:v>
                  </c:pt>
                  <c:pt idx="11">
                    <c:v>2024</c:v>
                  </c:pt>
                </c:lvl>
              </c:multiLvlStrCache>
            </c:multiLvlStrRef>
          </c:cat>
          <c:val>
            <c:numRef>
              <c:f>Dashboard!$B$75:$B$94</c:f>
              <c:numCache>
                <c:formatCode>General</c:formatCode>
                <c:ptCount val="17"/>
                <c:pt idx="0">
                  <c:v>206.17500000000001</c:v>
                </c:pt>
                <c:pt idx="1">
                  <c:v>136.22</c:v>
                </c:pt>
                <c:pt idx="2">
                  <c:v>295.69499999999999</c:v>
                </c:pt>
                <c:pt idx="3">
                  <c:v>326.98</c:v>
                </c:pt>
                <c:pt idx="4">
                  <c:v>344.15</c:v>
                </c:pt>
                <c:pt idx="5">
                  <c:v>357.45000000000005</c:v>
                </c:pt>
                <c:pt idx="6">
                  <c:v>367.68</c:v>
                </c:pt>
                <c:pt idx="7">
                  <c:v>422.93</c:v>
                </c:pt>
                <c:pt idx="8">
                  <c:v>528.97</c:v>
                </c:pt>
                <c:pt idx="9">
                  <c:v>190</c:v>
                </c:pt>
                <c:pt idx="10">
                  <c:v>574.29</c:v>
                </c:pt>
                <c:pt idx="11">
                  <c:v>750</c:v>
                </c:pt>
                <c:pt idx="12">
                  <c:v>657.75</c:v>
                </c:pt>
                <c:pt idx="13">
                  <c:v>511.65</c:v>
                </c:pt>
                <c:pt idx="14">
                  <c:v>633.5</c:v>
                </c:pt>
                <c:pt idx="15">
                  <c:v>680.1</c:v>
                </c:pt>
                <c:pt idx="16">
                  <c:v>492.5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F3-4568-B5AE-755DD727836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72127504"/>
        <c:axId val="1272131824"/>
      </c:lineChart>
      <c:catAx>
        <c:axId val="1272127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2131824"/>
        <c:crosses val="autoZero"/>
        <c:auto val="1"/>
        <c:lblAlgn val="ctr"/>
        <c:lblOffset val="100"/>
        <c:noMultiLvlLbl val="0"/>
      </c:catAx>
      <c:valAx>
        <c:axId val="127213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2127504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60960</xdr:colOff>
      <xdr:row>3</xdr:row>
      <xdr:rowOff>60960</xdr:rowOff>
    </xdr:from>
    <xdr:to>
      <xdr:col>10</xdr:col>
      <xdr:colOff>556260</xdr:colOff>
      <xdr:row>7</xdr:row>
      <xdr:rowOff>114300</xdr:rowOff>
    </xdr:to>
    <xdr:sp macro="[0]!Module5.Expense_tracker" textlink="">
      <xdr:nvSpPr>
        <xdr:cNvPr id="2" name="Rectangle 1">
          <a:extLst>
            <a:ext uri="{FF2B5EF4-FFF2-40B4-BE49-F238E27FC236}">
              <a16:creationId xmlns:a16="http://schemas.microsoft.com/office/drawing/2014/main" id="{1E48AE13-E8F2-1413-BF3E-ED8D1ABEBA90}"/>
            </a:ext>
          </a:extLst>
        </xdr:cNvPr>
        <xdr:cNvSpPr/>
      </xdr:nvSpPr>
      <xdr:spPr>
        <a:xfrm>
          <a:off x="3718560" y="426720"/>
          <a:ext cx="2933700" cy="4191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Enter transaction</a:t>
          </a:r>
        </a:p>
        <a:p>
          <a:pPr algn="l"/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396240</xdr:colOff>
      <xdr:row>1</xdr:row>
      <xdr:rowOff>95250</xdr:rowOff>
    </xdr:from>
    <xdr:to>
      <xdr:col>13</xdr:col>
      <xdr:colOff>129540</xdr:colOff>
      <xdr:row>13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6EA39FB-BB11-296E-2A79-E21E306EE3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1097280</xdr:colOff>
      <xdr:row>17</xdr:row>
      <xdr:rowOff>148590</xdr:rowOff>
    </xdr:from>
    <xdr:to>
      <xdr:col>20</xdr:col>
      <xdr:colOff>0</xdr:colOff>
      <xdr:row>32</xdr:row>
      <xdr:rowOff>148590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8343A94-EE5D-4F00-FC16-AFBA306017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1254490</xdr:colOff>
      <xdr:row>40</xdr:row>
      <xdr:rowOff>56148</xdr:rowOff>
    </xdr:from>
    <xdr:to>
      <xdr:col>16</xdr:col>
      <xdr:colOff>352925</xdr:colOff>
      <xdr:row>55</xdr:row>
      <xdr:rowOff>32084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6A61AFC-3FE8-0D25-A1CE-D02624E840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858252</xdr:colOff>
      <xdr:row>56</xdr:row>
      <xdr:rowOff>168442</xdr:rowOff>
    </xdr:from>
    <xdr:to>
      <xdr:col>16</xdr:col>
      <xdr:colOff>344905</xdr:colOff>
      <xdr:row>69</xdr:row>
      <xdr:rowOff>160421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7EEB519-ED9F-3AD3-6FEF-6FD3C03483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938463</xdr:colOff>
      <xdr:row>72</xdr:row>
      <xdr:rowOff>88232</xdr:rowOff>
    </xdr:from>
    <xdr:to>
      <xdr:col>16</xdr:col>
      <xdr:colOff>385011</xdr:colOff>
      <xdr:row>85</xdr:row>
      <xdr:rowOff>160421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E9CD380-D159-1780-24A4-90C3A84E29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5472.4544306713" createdVersion="8" refreshedVersion="8" minRefreshableVersion="3" recordCount="10" xr:uid="{E8312992-1333-4D68-BFA3-3EAD997584E9}">
  <cacheSource type="worksheet">
    <worksheetSource ref="A1:G11" sheet="Expense monthly"/>
  </cacheSource>
  <cacheFields count="7">
    <cacheField name="Expense" numFmtId="0">
      <sharedItems count="10">
        <s v="Tuition fees"/>
        <s v="Rent"/>
        <s v="Grocery"/>
        <s v="Eat out"/>
        <s v="Clothes"/>
        <s v="Travel"/>
        <s v="Flight"/>
        <s v="Visa charges"/>
        <s v="Miscellaneous"/>
        <s v="Total"/>
      </sharedItems>
    </cacheField>
    <cacheField name="Weekly amount" numFmtId="0">
      <sharedItems containsSemiMixedTypes="0" containsString="0" containsNumber="1" minValue="6.3365384615384617" maxValue="1156.3365384615388"/>
    </cacheField>
    <cacheField name="Monthly" numFmtId="0">
      <sharedItems containsSemiMixedTypes="0" containsString="0" containsNumber="1" minValue="27.458333333333332" maxValue="5010.7916666666661"/>
    </cacheField>
    <cacheField name="W. A. in Rs." numFmtId="0">
      <sharedItems containsSemiMixedTypes="0" containsString="0" containsNumber="1" minValue="348.50961538461542" maxValue="63598.509615384617"/>
    </cacheField>
    <cacheField name="M. A. in Rs." numFmtId="0">
      <sharedItems containsSemiMixedTypes="0" containsString="0" containsNumber="1" minValue="1510.2083333333333" maxValue="275593.54166666663"/>
    </cacheField>
    <cacheField name="Necessary" numFmtId="0">
      <sharedItems containsSemiMixedTypes="0" containsString="0" containsNumber="1" minValue="0" maxValue="60076.923076923071"/>
    </cacheField>
    <cacheField name="Yearly necessary" numFmtId="0">
      <sharedItems containsSemiMixedTypes="0" containsString="0" containsNumber="1" containsInteger="1" minValue="0" maxValue="312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5472.456692708336" createdVersion="8" refreshedVersion="8" minRefreshableVersion="3" recordCount="121" xr:uid="{8946DE26-50EC-47E4-8B9A-4FE499B1F74F}">
  <cacheSource type="worksheet">
    <worksheetSource ref="A1:E122" sheet="Tracker"/>
  </cacheSource>
  <cacheFields count="8">
    <cacheField name="Expense" numFmtId="0">
      <sharedItems containsBlank="1" count="9">
        <s v="Rent"/>
        <s v="Optus"/>
        <s v="Shopping"/>
        <s v="Travel"/>
        <s v="Misc"/>
        <s v="Bank Deposit"/>
        <s v="Gift"/>
        <s v="Total"/>
        <m/>
      </sharedItems>
    </cacheField>
    <cacheField name="Amount($)" numFmtId="0">
      <sharedItems containsMixedTypes="1" containsNumber="1" minValue="0" maxValue="20821.340000000004" count="74">
        <s v="N/A"/>
        <n v="3.75"/>
        <n v="7.4"/>
        <n v="12"/>
        <n v="21.75"/>
        <n v="22.75"/>
        <n v="3.15"/>
        <n v="13.5"/>
        <n v="10"/>
        <n v="6"/>
        <n v="23"/>
        <n v="1"/>
        <n v="3.5"/>
        <n v="398"/>
        <n v="5"/>
        <n v="4.5"/>
        <n v="3.25"/>
        <n v="2.75"/>
        <s v="N/A(202.58)"/>
        <s v="N/A(204.29)"/>
        <n v="2.7"/>
        <n v="53.1"/>
        <n v="16"/>
        <n v="28"/>
        <n v="9"/>
        <n v="250"/>
        <n v="3.64"/>
        <n v="1.4"/>
        <n v="144.32"/>
        <n v="59.75"/>
        <n v="20"/>
        <n v="3.71"/>
        <n v="350"/>
        <n v="44.36"/>
        <n v="40.5"/>
        <n v="1.39"/>
        <n v="405.16"/>
        <n v="21.6"/>
        <n v="15.88"/>
        <n v="25.9"/>
        <n v="2"/>
        <n v="26"/>
        <n v="30"/>
        <n v="7.5"/>
        <n v="5.63"/>
        <n v="13"/>
        <n v="3"/>
        <n v="22.8"/>
        <n v="25.55"/>
        <n v="110"/>
        <n v="14.1"/>
        <n v="10.75"/>
        <n v="50"/>
        <n v="55.6"/>
        <n v="29"/>
        <n v="11"/>
        <n v="100"/>
        <n v="38"/>
        <n v="0"/>
        <n v="1500"/>
        <n v="560"/>
        <n v="300"/>
        <n v="200"/>
        <n v="1200"/>
        <n v="1100"/>
        <n v="576"/>
        <n v="4400"/>
        <n v="353"/>
        <n v="115"/>
        <n v="1045"/>
        <n v="120"/>
        <n v="54"/>
        <n v="20821.340000000004"/>
        <s v=" "/>
      </sharedItems>
    </cacheField>
    <cacheField name="AUD($)" numFmtId="0">
      <sharedItems containsBlank="1" containsMixedTypes="1" containsNumber="1" minValue="53.93" maxValue="58.68"/>
    </cacheField>
    <cacheField name="Amount(Rs.)" numFmtId="0">
      <sharedItems containsBlank="1" containsMixedTypes="1" containsNumber="1" containsInteger="1" minValue="3102" maxValue="270912" count="12">
        <n v="10934"/>
        <n v="3102"/>
        <s v="N/A"/>
        <n v="11855"/>
        <n v="11286"/>
        <n v="11370"/>
        <n v="22365"/>
        <n v="22000"/>
        <n v="18000"/>
        <n v="160000"/>
        <n v="270912"/>
        <m/>
      </sharedItems>
    </cacheField>
    <cacheField name="Date" numFmtId="0">
      <sharedItems containsNonDate="0" containsDate="1" containsString="0" containsBlank="1" minDate="2022-10-10T00:00:00" maxDate="2024-06-29T00:00:00" count="100">
        <d v="2022-10-10T00:00:00"/>
        <d v="2023-02-13T00:00:00"/>
        <d v="2023-02-14T00:00:00"/>
        <d v="2023-02-15T00:00:00"/>
        <d v="2023-02-16T00:00:00"/>
        <d v="2023-02-17T00:00:00"/>
        <d v="2023-02-18T00:00:00"/>
        <d v="2023-02-20T00:00:00"/>
        <d v="2023-02-22T00:00:00"/>
        <d v="2023-02-27T00:00:00"/>
        <d v="2023-02-28T00:00:00"/>
        <d v="2023-03-02T00:00:00"/>
        <d v="2023-03-03T00:00:00"/>
        <d v="2023-03-05T00:00:00"/>
        <d v="2023-03-11T00:00:00"/>
        <d v="2023-03-12T00:00:00"/>
        <d v="2023-03-14T00:00:00"/>
        <d v="2023-03-17T00:00:00"/>
        <d v="2023-03-22T00:00:00"/>
        <d v="2023-03-24T00:00:00"/>
        <d v="2023-03-28T00:00:00"/>
        <d v="2023-04-01T00:00:00"/>
        <d v="2023-04-04T00:00:00"/>
        <d v="2023-04-10T00:00:00"/>
        <d v="2023-04-11T00:00:00"/>
        <d v="2023-04-12T00:00:00"/>
        <d v="2023-04-13T00:00:00"/>
        <d v="2023-04-15T00:00:00"/>
        <d v="2023-04-25T00:00:00"/>
        <d v="2023-04-26T00:00:00"/>
        <d v="2023-04-28T00:00:00"/>
        <d v="2023-05-07T00:00:00"/>
        <d v="2023-05-11T00:00:00"/>
        <d v="2023-05-12T00:00:00"/>
        <d v="2023-05-15T00:00:00"/>
        <d v="2023-05-16T00:00:00"/>
        <d v="2023-05-21T00:00:00"/>
        <d v="2023-05-23T00:00:00"/>
        <d v="2023-06-06T00:00:00"/>
        <d v="2023-06-07T00:00:00"/>
        <d v="2023-06-10T00:00:00"/>
        <d v="2023-06-16T00:00:00"/>
        <d v="2023-06-20T00:00:00"/>
        <d v="2023-06-22T00:00:00"/>
        <d v="2023-07-03T00:00:00"/>
        <d v="2023-07-04T00:00:00"/>
        <d v="2023-07-10T00:00:00"/>
        <d v="2023-07-13T00:00:00"/>
        <d v="2023-07-16T00:00:00"/>
        <d v="2023-07-18T00:00:00"/>
        <d v="2023-07-25T00:00:00"/>
        <d v="2023-07-26T00:00:00"/>
        <d v="2023-08-01T00:00:00"/>
        <d v="2023-08-03T00:00:00"/>
        <d v="2023-08-05T00:00:00"/>
        <d v="2023-08-10T00:00:00"/>
        <d v="2023-08-15T00:00:00"/>
        <d v="2023-08-16T00:00:00"/>
        <d v="2023-08-23T00:00:00"/>
        <d v="2023-08-26T00:00:00"/>
        <d v="2023-08-27T00:00:00"/>
        <d v="2023-08-28T00:00:00"/>
        <d v="2023-08-29T00:00:00"/>
        <d v="2023-08-30T00:00:00"/>
        <d v="2023-09-09T00:00:00"/>
        <d v="2023-09-12T00:00:00"/>
        <d v="2023-09-13T00:00:00"/>
        <d v="2023-09-15T00:00:00"/>
        <d v="2023-09-26T00:00:00"/>
        <d v="2023-10-10T00:00:00"/>
        <d v="2023-10-13T00:00:00"/>
        <d v="2023-10-14T00:00:00"/>
        <d v="2023-10-16T00:00:00"/>
        <d v="2023-10-20T00:00:00"/>
        <d v="2023-10-24T00:00:00"/>
        <d v="2023-10-30T00:00:00"/>
        <d v="2023-10-31T00:00:00"/>
        <d v="2023-11-02T00:00:00"/>
        <d v="2023-11-03T00:00:00"/>
        <d v="2023-11-05T00:00:00"/>
        <d v="2023-11-06T00:00:00"/>
        <d v="2023-11-07T00:00:00"/>
        <d v="2023-11-09T00:00:00"/>
        <d v="2023-11-10T00:00:00"/>
        <d v="2023-11-16T00:00:00"/>
        <d v="2023-11-25T00:00:00"/>
        <d v="2023-12-04T00:00:00"/>
        <d v="2023-12-13T00:00:00"/>
        <d v="2023-12-31T00:00:00"/>
        <d v="2024-02-13T00:00:00"/>
        <d v="2024-02-15T00:00:00"/>
        <d v="2024-05-13T00:00:00"/>
        <d v="2024-05-15T00:00:00"/>
        <d v="2024-05-18T00:00:00"/>
        <d v="2024-06-13T00:00:00"/>
        <d v="2024-06-15T00:00:00"/>
        <d v="2024-06-22T00:00:00"/>
        <d v="2024-06-25T00:00:00"/>
        <d v="2024-06-28T00:00:00"/>
        <m/>
      </sharedItems>
      <fieldGroup par="7"/>
    </cacheField>
    <cacheField name="Months (Date)" numFmtId="0" databaseField="0">
      <fieldGroup base="4">
        <rangePr groupBy="months" startDate="2022-10-10T00:00:00" endDate="2024-06-29T00:00:00"/>
        <groupItems count="14">
          <s v="&lt;10-10-2022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9-06-2024"/>
        </groupItems>
      </fieldGroup>
    </cacheField>
    <cacheField name="Quarters (Date)" numFmtId="0" databaseField="0">
      <fieldGroup base="4">
        <rangePr groupBy="quarters" startDate="2022-10-10T00:00:00" endDate="2024-06-29T00:00:00"/>
        <groupItems count="6">
          <s v="&lt;10-10-2022"/>
          <s v="Qtr1"/>
          <s v="Qtr2"/>
          <s v="Qtr3"/>
          <s v="Qtr4"/>
          <s v="&gt;29-06-2024"/>
        </groupItems>
      </fieldGroup>
    </cacheField>
    <cacheField name="Years (Date)" numFmtId="0" databaseField="0">
      <fieldGroup base="4">
        <rangePr groupBy="years" startDate="2022-10-10T00:00:00" endDate="2024-06-29T00:00:00"/>
        <groupItems count="5">
          <s v="&lt;10-10-2022"/>
          <s v="2022"/>
          <s v="2023"/>
          <s v="2024"/>
          <s v="&gt;29-06-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5472.471031134257" createdVersion="8" refreshedVersion="8" minRefreshableVersion="3" recordCount="12" xr:uid="{C89DDD64-1C15-4A39-8973-95DB6CA74F43}">
  <cacheSource type="worksheet">
    <worksheetSource ref="A1:G13" sheet="Fees Payment"/>
  </cacheSource>
  <cacheFields count="10">
    <cacheField name="Expense" numFmtId="0">
      <sharedItems/>
    </cacheField>
    <cacheField name="Amount($)" numFmtId="0">
      <sharedItems containsMixedTypes="1" containsNumber="1" minValue="163.19999999999999" maxValue="8235" count="5">
        <s v="N/A"/>
        <n v="163.19999999999999"/>
        <n v="2522.8000000000002"/>
        <n v="5549"/>
        <n v="8235"/>
      </sharedItems>
    </cacheField>
    <cacheField name="AUD($)" numFmtId="0">
      <sharedItems containsMixedTypes="1" containsNumber="1" minValue="54.106000000000002" maxValue="55.54"/>
    </cacheField>
    <cacheField name="Amount(Rs.)" numFmtId="0">
      <sharedItems containsMixedTypes="1" containsNumber="1" containsInteger="1" minValue="11517" maxValue="2214915"/>
    </cacheField>
    <cacheField name="Date" numFmtId="0">
      <sharedItems containsNonDate="0" containsDate="1" containsString="0" containsBlank="1" minDate="2022-10-07T00:00:00" maxDate="2024-10-08T00:00:00" count="9">
        <d v="2022-10-07T00:00:00"/>
        <d v="2024-10-07T00:00:00"/>
        <d v="2023-10-28T00:00:00"/>
        <d v="2023-06-27T00:00:00"/>
        <d v="2023-07-03T00:00:00"/>
        <d v="2024-03-03T00:00:00"/>
        <d v="2024-03-13T00:00:00"/>
        <m/>
        <d v="2023-03-28T00:00:00" u="1"/>
      </sharedItems>
      <fieldGroup par="9"/>
    </cacheField>
    <cacheField name="Year" numFmtId="0">
      <sharedItems containsString="0" containsBlank="1" containsNumber="1" containsInteger="1" minValue="2022" maxValue="2024"/>
    </cacheField>
    <cacheField name="Paid through" numFmtId="0">
      <sharedItems containsBlank="1"/>
    </cacheField>
    <cacheField name="Months (Date)" numFmtId="0" databaseField="0">
      <fieldGroup base="4">
        <rangePr groupBy="months" startDate="2022-10-07T00:00:00" endDate="2024-10-08T00:00:00"/>
        <groupItems count="14">
          <s v="&lt;07-10-2022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8-10-2024"/>
        </groupItems>
      </fieldGroup>
    </cacheField>
    <cacheField name="Quarters (Date)" numFmtId="0" databaseField="0">
      <fieldGroup base="4">
        <rangePr groupBy="quarters" startDate="2022-10-07T00:00:00" endDate="2024-10-08T00:00:00"/>
        <groupItems count="6">
          <s v="&lt;07-10-2022"/>
          <s v="Qtr1"/>
          <s v="Qtr2"/>
          <s v="Qtr3"/>
          <s v="Qtr4"/>
          <s v="&gt;08-10-2024"/>
        </groupItems>
      </fieldGroup>
    </cacheField>
    <cacheField name="Years (Date)" numFmtId="0" databaseField="0">
      <fieldGroup base="4">
        <rangePr groupBy="years" startDate="2022-10-07T00:00:00" endDate="2024-10-08T00:00:00"/>
        <groupItems count="5">
          <s v="&lt;07-10-2022"/>
          <s v="2022"/>
          <s v="2023"/>
          <s v="2024"/>
          <s v="&gt;08-10-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5473.581318750003" createdVersion="8" refreshedVersion="8" minRefreshableVersion="3" recordCount="579" xr:uid="{B045D1B2-35EC-4E94-A460-23F071062327}">
  <cacheSource type="worksheet">
    <worksheetSource ref="A1:H580" sheet="Food"/>
  </cacheSource>
  <cacheFields count="11">
    <cacheField name="Food" numFmtId="0">
      <sharedItems/>
    </cacheField>
    <cacheField name="Spend" numFmtId="0">
      <sharedItems containsSemiMixedTypes="0" containsString="0" containsNumber="1" minValue="0" maxValue="7476.0399999999981"/>
    </cacheField>
    <cacheField name="Date" numFmtId="0">
      <sharedItems containsNonDate="0" containsDate="1" containsString="0" containsBlank="1" minDate="2023-02-13T00:00:00" maxDate="2024-06-30T00:00:00" count="504">
        <d v="2023-02-13T00:00:00"/>
        <d v="2023-02-14T00:00:00"/>
        <d v="2023-02-15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27T00:00:00"/>
        <d v="2023-02-28T00:00:00"/>
        <d v="2023-03-01T00:00:00"/>
        <d v="2023-03-02T00:00:00"/>
        <d v="2023-03-03T00:00:00"/>
        <d v="2023-03-04T00:00:00"/>
        <d v="2023-03-05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0T00:00:00"/>
        <d v="2023-10-21T00:00:00"/>
        <d v="2023-10-22T00:00:00"/>
        <d v="2023-10-23T00:00:00"/>
        <d v="2023-10-24T00:00:00"/>
        <d v="2023-10-25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5T00:00:00"/>
        <d v="2024-02-26T00:00:00"/>
        <d v="2024-02-27T00:00:00"/>
        <d v="2024-02-28T00:00:00"/>
        <d v="2024-02-29T00:00:00"/>
        <d v="2024-03-01T00:00:00"/>
        <d v="2024-03-02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7T00:00:00"/>
        <d v="2024-03-28T00:00:00"/>
        <d v="2024-03-29T00:00:00"/>
        <d v="2024-03-30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5T00:00:00"/>
        <d v="2024-06-26T00:00:00"/>
        <d v="2024-06-27T00:00:00"/>
        <d v="2024-06-28T00:00:00"/>
        <d v="2024-06-29T00:00:00"/>
        <m/>
      </sharedItems>
      <fieldGroup par="10"/>
    </cacheField>
    <cacheField name="Year" numFmtId="0">
      <sharedItems containsString="0" containsBlank="1" containsNumber="1" containsInteger="1" minValue="2023" maxValue="2024"/>
    </cacheField>
    <cacheField name="Quota" numFmtId="0">
      <sharedItems containsString="0" containsBlank="1" containsNumber="1" minValue="-16.774999999999999" maxValue="1454.4599999999998"/>
    </cacheField>
    <cacheField name="left" numFmtId="0">
      <sharedItems containsString="0" containsBlank="1" containsNumber="1" minValue="-30.274999999999999" maxValue="1439.4599999999998"/>
    </cacheField>
    <cacheField name="Budget" numFmtId="0">
      <sharedItems containsMixedTypes="1" containsNumber="1" containsInteger="1" minValue="15" maxValue="7545"/>
    </cacheField>
    <cacheField name="Days" numFmtId="0">
      <sharedItems containsSemiMixedTypes="0" containsString="0" containsNumber="1" minValue="1" maxValue="503"/>
    </cacheField>
    <cacheField name="Months (Date)" numFmtId="0" databaseField="0">
      <fieldGroup base="2">
        <rangePr groupBy="months" startDate="2023-02-13T00:00:00" endDate="2024-06-30T00:00:00"/>
        <groupItems count="14">
          <s v="&lt;13-02-20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0-06-2024"/>
        </groupItems>
      </fieldGroup>
    </cacheField>
    <cacheField name="Quarters (Date)" numFmtId="0" databaseField="0">
      <fieldGroup base="2">
        <rangePr groupBy="quarters" startDate="2023-02-13T00:00:00" endDate="2024-06-30T00:00:00"/>
        <groupItems count="6">
          <s v="&lt;13-02-2023"/>
          <s v="Qtr1"/>
          <s v="Qtr2"/>
          <s v="Qtr3"/>
          <s v="Qtr4"/>
          <s v="&gt;30-06-2024"/>
        </groupItems>
      </fieldGroup>
    </cacheField>
    <cacheField name="Years (Date)" numFmtId="0" databaseField="0">
      <fieldGroup base="2">
        <rangePr groupBy="years" startDate="2023-02-13T00:00:00" endDate="2024-06-30T00:00:00"/>
        <groupItems count="4">
          <s v="&lt;13-02-2023"/>
          <s v="2023"/>
          <s v="2024"/>
          <s v="&gt;30-06-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n v="600"/>
    <n v="2600"/>
    <n v="33000"/>
    <n v="143000"/>
    <n v="33000"/>
    <n v="1716000"/>
  </r>
  <r>
    <x v="1"/>
    <n v="250"/>
    <n v="1083.3333333333333"/>
    <n v="13750"/>
    <n v="59583.333333333328"/>
    <n v="19461.538461538461"/>
    <n v="1012000"/>
  </r>
  <r>
    <x v="2"/>
    <n v="51.92307692307692"/>
    <n v="225"/>
    <n v="2855.7692307692305"/>
    <n v="12375"/>
    <n v="1269.2307692307693"/>
    <n v="66000"/>
  </r>
  <r>
    <x v="3"/>
    <n v="51.92307692307692"/>
    <n v="225"/>
    <n v="2855.7692307692305"/>
    <n v="12375"/>
    <n v="6346.1538461538466"/>
    <n v="330000"/>
  </r>
  <r>
    <x v="4"/>
    <n v="19.23076923076923"/>
    <n v="83.333333333333329"/>
    <n v="1057.6923076923076"/>
    <n v="4583.333333333333"/>
    <n v="0"/>
    <n v="0"/>
  </r>
  <r>
    <x v="5"/>
    <n v="23.076923076923077"/>
    <n v="100"/>
    <n v="1269.2307692307693"/>
    <n v="5500"/>
    <n v="0"/>
    <n v="0"/>
  </r>
  <r>
    <x v="6"/>
    <n v="38.46153846153846"/>
    <n v="166.66666666666666"/>
    <n v="2115.3846153846152"/>
    <n v="9166.6666666666661"/>
    <n v="0"/>
    <n v="0"/>
  </r>
  <r>
    <x v="7"/>
    <n v="6.3365384615384617"/>
    <n v="27.458333333333332"/>
    <n v="348.50961538461542"/>
    <n v="1510.2083333333333"/>
    <n v="0"/>
    <n v="0"/>
  </r>
  <r>
    <x v="8"/>
    <n v="115.38461538461539"/>
    <n v="500"/>
    <n v="6346.1538461538466"/>
    <n v="27500"/>
    <n v="0"/>
    <n v="0"/>
  </r>
  <r>
    <x v="9"/>
    <n v="1156.3365384615388"/>
    <n v="5010.7916666666661"/>
    <n v="63598.509615384617"/>
    <n v="275593.54166666663"/>
    <n v="60076.923076923071"/>
    <n v="31240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1">
  <r>
    <x v="0"/>
    <x v="0"/>
    <n v="53.93"/>
    <x v="0"/>
    <x v="0"/>
  </r>
  <r>
    <x v="1"/>
    <x v="0"/>
    <n v="58.4"/>
    <x v="1"/>
    <x v="1"/>
  </r>
  <r>
    <x v="2"/>
    <x v="1"/>
    <n v="56.5"/>
    <x v="2"/>
    <x v="1"/>
  </r>
  <r>
    <x v="2"/>
    <x v="2"/>
    <n v="56.5"/>
    <x v="2"/>
    <x v="2"/>
  </r>
  <r>
    <x v="2"/>
    <x v="3"/>
    <n v="56.5"/>
    <x v="2"/>
    <x v="2"/>
  </r>
  <r>
    <x v="0"/>
    <x v="0"/>
    <n v="58.68"/>
    <x v="3"/>
    <x v="2"/>
  </r>
  <r>
    <x v="2"/>
    <x v="4"/>
    <n v="56.5"/>
    <x v="2"/>
    <x v="3"/>
  </r>
  <r>
    <x v="2"/>
    <x v="5"/>
    <n v="56.5"/>
    <x v="2"/>
    <x v="3"/>
  </r>
  <r>
    <x v="2"/>
    <x v="6"/>
    <n v="56.5"/>
    <x v="2"/>
    <x v="4"/>
  </r>
  <r>
    <x v="2"/>
    <x v="7"/>
    <n v="56.5"/>
    <x v="2"/>
    <x v="5"/>
  </r>
  <r>
    <x v="3"/>
    <x v="8"/>
    <n v="56.5"/>
    <x v="2"/>
    <x v="5"/>
  </r>
  <r>
    <x v="2"/>
    <x v="9"/>
    <n v="56.5"/>
    <x v="2"/>
    <x v="6"/>
  </r>
  <r>
    <x v="2"/>
    <x v="10"/>
    <n v="56.5"/>
    <x v="2"/>
    <x v="7"/>
  </r>
  <r>
    <x v="2"/>
    <x v="11"/>
    <n v="56.5"/>
    <x v="2"/>
    <x v="8"/>
  </r>
  <r>
    <x v="2"/>
    <x v="12"/>
    <n v="56.5"/>
    <x v="2"/>
    <x v="8"/>
  </r>
  <r>
    <x v="2"/>
    <x v="11"/>
    <n v="56.5"/>
    <x v="2"/>
    <x v="9"/>
  </r>
  <r>
    <x v="0"/>
    <x v="13"/>
    <n v="56.5"/>
    <x v="2"/>
    <x v="10"/>
  </r>
  <r>
    <x v="2"/>
    <x v="8"/>
    <n v="56.5"/>
    <x v="2"/>
    <x v="11"/>
  </r>
  <r>
    <x v="4"/>
    <x v="14"/>
    <n v="56.5"/>
    <x v="2"/>
    <x v="12"/>
  </r>
  <r>
    <x v="4"/>
    <x v="15"/>
    <n v="56.5"/>
    <x v="2"/>
    <x v="13"/>
  </r>
  <r>
    <x v="2"/>
    <x v="16"/>
    <n v="56.5"/>
    <x v="2"/>
    <x v="14"/>
  </r>
  <r>
    <x v="2"/>
    <x v="17"/>
    <n v="56.5"/>
    <x v="2"/>
    <x v="15"/>
  </r>
  <r>
    <x v="0"/>
    <x v="18"/>
    <n v="55.22"/>
    <x v="4"/>
    <x v="16"/>
  </r>
  <r>
    <x v="0"/>
    <x v="19"/>
    <n v="56.12"/>
    <x v="5"/>
    <x v="16"/>
  </r>
  <r>
    <x v="4"/>
    <x v="20"/>
    <n v="56.5"/>
    <x v="2"/>
    <x v="17"/>
  </r>
  <r>
    <x v="3"/>
    <x v="14"/>
    <n v="56.5"/>
    <x v="2"/>
    <x v="18"/>
  </r>
  <r>
    <x v="1"/>
    <x v="21"/>
    <n v="56.5"/>
    <x v="2"/>
    <x v="19"/>
  </r>
  <r>
    <x v="0"/>
    <x v="0"/>
    <n v="55.65"/>
    <x v="6"/>
    <x v="20"/>
  </r>
  <r>
    <x v="4"/>
    <x v="14"/>
    <s v="N/A"/>
    <x v="2"/>
    <x v="21"/>
  </r>
  <r>
    <x v="4"/>
    <x v="22"/>
    <s v="N/A"/>
    <x v="2"/>
    <x v="22"/>
  </r>
  <r>
    <x v="2"/>
    <x v="23"/>
    <s v="N/A"/>
    <x v="2"/>
    <x v="22"/>
  </r>
  <r>
    <x v="4"/>
    <x v="24"/>
    <s v="N/A"/>
    <x v="2"/>
    <x v="23"/>
  </r>
  <r>
    <x v="0"/>
    <x v="25"/>
    <s v="N/A"/>
    <x v="2"/>
    <x v="24"/>
  </r>
  <r>
    <x v="0"/>
    <x v="26"/>
    <s v="N/A"/>
    <x v="2"/>
    <x v="24"/>
  </r>
  <r>
    <x v="2"/>
    <x v="27"/>
    <s v="N/A"/>
    <x v="2"/>
    <x v="25"/>
  </r>
  <r>
    <x v="0"/>
    <x v="28"/>
    <s v="N/A"/>
    <x v="2"/>
    <x v="25"/>
  </r>
  <r>
    <x v="1"/>
    <x v="21"/>
    <s v="N/A"/>
    <x v="2"/>
    <x v="26"/>
  </r>
  <r>
    <x v="2"/>
    <x v="29"/>
    <s v="N/A"/>
    <x v="2"/>
    <x v="26"/>
  </r>
  <r>
    <x v="3"/>
    <x v="8"/>
    <s v="N/A"/>
    <x v="2"/>
    <x v="26"/>
  </r>
  <r>
    <x v="2"/>
    <x v="30"/>
    <s v="N/A"/>
    <x v="2"/>
    <x v="27"/>
  </r>
  <r>
    <x v="0"/>
    <x v="31"/>
    <s v="N/A"/>
    <x v="2"/>
    <x v="28"/>
  </r>
  <r>
    <x v="0"/>
    <x v="32"/>
    <s v="N/A"/>
    <x v="2"/>
    <x v="28"/>
  </r>
  <r>
    <x v="0"/>
    <x v="33"/>
    <s v="N/A"/>
    <x v="2"/>
    <x v="29"/>
  </r>
  <r>
    <x v="2"/>
    <x v="34"/>
    <s v="N/A"/>
    <x v="2"/>
    <x v="30"/>
  </r>
  <r>
    <x v="3"/>
    <x v="9"/>
    <s v="N/A"/>
    <x v="2"/>
    <x v="31"/>
  </r>
  <r>
    <x v="4"/>
    <x v="35"/>
    <s v="N/A"/>
    <x v="2"/>
    <x v="32"/>
  </r>
  <r>
    <x v="0"/>
    <x v="13"/>
    <s v="N/A"/>
    <x v="2"/>
    <x v="33"/>
  </r>
  <r>
    <x v="5"/>
    <x v="0"/>
    <s v="N/A"/>
    <x v="7"/>
    <x v="34"/>
  </r>
  <r>
    <x v="1"/>
    <x v="21"/>
    <s v="N/A"/>
    <x v="2"/>
    <x v="35"/>
  </r>
  <r>
    <x v="2"/>
    <x v="24"/>
    <s v="N/A"/>
    <x v="2"/>
    <x v="36"/>
  </r>
  <r>
    <x v="0"/>
    <x v="13"/>
    <s v="N/A"/>
    <x v="2"/>
    <x v="37"/>
  </r>
  <r>
    <x v="0"/>
    <x v="36"/>
    <s v="N/A"/>
    <x v="2"/>
    <x v="38"/>
  </r>
  <r>
    <x v="6"/>
    <x v="0"/>
    <s v="N/A"/>
    <x v="8"/>
    <x v="39"/>
  </r>
  <r>
    <x v="2"/>
    <x v="37"/>
    <s v="N/A"/>
    <x v="2"/>
    <x v="40"/>
  </r>
  <r>
    <x v="4"/>
    <x v="38"/>
    <s v="N/A"/>
    <x v="2"/>
    <x v="41"/>
  </r>
  <r>
    <x v="1"/>
    <x v="21"/>
    <s v="N/A"/>
    <x v="2"/>
    <x v="41"/>
  </r>
  <r>
    <x v="0"/>
    <x v="13"/>
    <s v="N/A"/>
    <x v="2"/>
    <x v="42"/>
  </r>
  <r>
    <x v="4"/>
    <x v="14"/>
    <s v="N/A"/>
    <x v="2"/>
    <x v="43"/>
  </r>
  <r>
    <x v="4"/>
    <x v="39"/>
    <s v="N/A"/>
    <x v="2"/>
    <x v="44"/>
  </r>
  <r>
    <x v="0"/>
    <x v="13"/>
    <s v="N/A"/>
    <x v="2"/>
    <x v="45"/>
  </r>
  <r>
    <x v="2"/>
    <x v="40"/>
    <s v="N/A"/>
    <x v="2"/>
    <x v="46"/>
  </r>
  <r>
    <x v="1"/>
    <x v="21"/>
    <s v="N/A"/>
    <x v="2"/>
    <x v="47"/>
  </r>
  <r>
    <x v="4"/>
    <x v="41"/>
    <s v="N/A"/>
    <x v="2"/>
    <x v="47"/>
  </r>
  <r>
    <x v="4"/>
    <x v="24"/>
    <s v="N/A"/>
    <x v="2"/>
    <x v="48"/>
  </r>
  <r>
    <x v="4"/>
    <x v="42"/>
    <s v="N/A"/>
    <x v="2"/>
    <x v="48"/>
  </r>
  <r>
    <x v="0"/>
    <x v="13"/>
    <s v="N/A"/>
    <x v="2"/>
    <x v="49"/>
  </r>
  <r>
    <x v="2"/>
    <x v="40"/>
    <s v="N/A"/>
    <x v="2"/>
    <x v="50"/>
  </r>
  <r>
    <x v="2"/>
    <x v="43"/>
    <s v="N/A"/>
    <x v="2"/>
    <x v="51"/>
  </r>
  <r>
    <x v="2"/>
    <x v="40"/>
    <s v="N/A"/>
    <x v="2"/>
    <x v="52"/>
  </r>
  <r>
    <x v="0"/>
    <x v="13"/>
    <s v="N/A"/>
    <x v="2"/>
    <x v="52"/>
  </r>
  <r>
    <x v="4"/>
    <x v="44"/>
    <s v="N/A"/>
    <x v="2"/>
    <x v="53"/>
  </r>
  <r>
    <x v="2"/>
    <x v="45"/>
    <s v="N/A"/>
    <x v="2"/>
    <x v="54"/>
  </r>
  <r>
    <x v="2"/>
    <x v="46"/>
    <s v="N/A"/>
    <x v="2"/>
    <x v="55"/>
  </r>
  <r>
    <x v="0"/>
    <x v="13"/>
    <s v="N/A"/>
    <x v="2"/>
    <x v="56"/>
  </r>
  <r>
    <x v="1"/>
    <x v="21"/>
    <s v="N/A"/>
    <x v="2"/>
    <x v="57"/>
  </r>
  <r>
    <x v="2"/>
    <x v="46"/>
    <s v="N/A"/>
    <x v="2"/>
    <x v="58"/>
  </r>
  <r>
    <x v="4"/>
    <x v="47"/>
    <s v="N/A"/>
    <x v="2"/>
    <x v="59"/>
  </r>
  <r>
    <x v="2"/>
    <x v="48"/>
    <s v="N/A"/>
    <x v="2"/>
    <x v="60"/>
  </r>
  <r>
    <x v="4"/>
    <x v="49"/>
    <s v="N/A"/>
    <x v="2"/>
    <x v="61"/>
  </r>
  <r>
    <x v="0"/>
    <x v="13"/>
    <s v="N/A"/>
    <x v="2"/>
    <x v="62"/>
  </r>
  <r>
    <x v="2"/>
    <x v="14"/>
    <s v="N/A"/>
    <x v="2"/>
    <x v="63"/>
  </r>
  <r>
    <x v="4"/>
    <x v="50"/>
    <s v="N/A"/>
    <x v="2"/>
    <x v="64"/>
  </r>
  <r>
    <x v="0"/>
    <x v="13"/>
    <s v="N/A"/>
    <x v="2"/>
    <x v="65"/>
  </r>
  <r>
    <x v="2"/>
    <x v="3"/>
    <s v="N/A"/>
    <x v="2"/>
    <x v="65"/>
  </r>
  <r>
    <x v="2"/>
    <x v="21"/>
    <s v="N/A"/>
    <x v="2"/>
    <x v="66"/>
  </r>
  <r>
    <x v="2"/>
    <x v="8"/>
    <s v="N/A"/>
    <x v="2"/>
    <x v="67"/>
  </r>
  <r>
    <x v="0"/>
    <x v="13"/>
    <s v="N/A"/>
    <x v="2"/>
    <x v="68"/>
  </r>
  <r>
    <x v="0"/>
    <x v="13"/>
    <s v="N/A"/>
    <x v="2"/>
    <x v="69"/>
  </r>
  <r>
    <x v="4"/>
    <x v="51"/>
    <s v="N/A"/>
    <x v="2"/>
    <x v="70"/>
  </r>
  <r>
    <x v="2"/>
    <x v="21"/>
    <s v="N/A"/>
    <x v="2"/>
    <x v="71"/>
  </r>
  <r>
    <x v="2"/>
    <x v="52"/>
    <s v="N/A"/>
    <x v="2"/>
    <x v="72"/>
  </r>
  <r>
    <x v="4"/>
    <x v="53"/>
    <s v="N/A"/>
    <x v="2"/>
    <x v="73"/>
  </r>
  <r>
    <x v="0"/>
    <x v="13"/>
    <s v="N/A"/>
    <x v="2"/>
    <x v="74"/>
  </r>
  <r>
    <x v="4"/>
    <x v="54"/>
    <s v="N/A"/>
    <x v="2"/>
    <x v="75"/>
  </r>
  <r>
    <x v="4"/>
    <x v="55"/>
    <s v="N/A"/>
    <x v="2"/>
    <x v="76"/>
  </r>
  <r>
    <x v="4"/>
    <x v="41"/>
    <s v="N/A"/>
    <x v="2"/>
    <x v="77"/>
  </r>
  <r>
    <x v="4"/>
    <x v="56"/>
    <s v="N/A"/>
    <x v="2"/>
    <x v="78"/>
  </r>
  <r>
    <x v="4"/>
    <x v="9"/>
    <s v="N/A"/>
    <x v="2"/>
    <x v="79"/>
  </r>
  <r>
    <x v="4"/>
    <x v="57"/>
    <s v="N/A"/>
    <x v="2"/>
    <x v="80"/>
  </r>
  <r>
    <x v="0"/>
    <x v="13"/>
    <s v="N/A"/>
    <x v="2"/>
    <x v="81"/>
  </r>
  <r>
    <x v="4"/>
    <x v="24"/>
    <s v="N/A"/>
    <x v="2"/>
    <x v="82"/>
  </r>
  <r>
    <x v="4"/>
    <x v="58"/>
    <s v="N/A"/>
    <x v="9"/>
    <x v="83"/>
  </r>
  <r>
    <x v="4"/>
    <x v="59"/>
    <s v="N/A"/>
    <x v="2"/>
    <x v="84"/>
  </r>
  <r>
    <x v="4"/>
    <x v="60"/>
    <s v="N/A"/>
    <x v="2"/>
    <x v="85"/>
  </r>
  <r>
    <x v="0"/>
    <x v="13"/>
    <s v="N/A"/>
    <x v="2"/>
    <x v="86"/>
  </r>
  <r>
    <x v="4"/>
    <x v="61"/>
    <s v="N/A"/>
    <x v="2"/>
    <x v="87"/>
  </r>
  <r>
    <x v="4"/>
    <x v="62"/>
    <s v="N/A"/>
    <x v="2"/>
    <x v="88"/>
  </r>
  <r>
    <x v="0"/>
    <x v="13"/>
    <s v="N/A"/>
    <x v="2"/>
    <x v="88"/>
  </r>
  <r>
    <x v="0"/>
    <x v="63"/>
    <s v="N/A"/>
    <x v="2"/>
    <x v="89"/>
  </r>
  <r>
    <x v="4"/>
    <x v="64"/>
    <s v="N/A"/>
    <x v="2"/>
    <x v="90"/>
  </r>
  <r>
    <x v="1"/>
    <x v="65"/>
    <s v="N/A"/>
    <x v="2"/>
    <x v="91"/>
  </r>
  <r>
    <x v="0"/>
    <x v="66"/>
    <s v="N/A"/>
    <x v="2"/>
    <x v="92"/>
  </r>
  <r>
    <x v="4"/>
    <x v="67"/>
    <s v="N/A"/>
    <x v="2"/>
    <x v="93"/>
  </r>
  <r>
    <x v="1"/>
    <x v="68"/>
    <s v="N/A"/>
    <x v="2"/>
    <x v="94"/>
  </r>
  <r>
    <x v="0"/>
    <x v="69"/>
    <s v="N/A"/>
    <x v="2"/>
    <x v="95"/>
  </r>
  <r>
    <x v="4"/>
    <x v="70"/>
    <s v="N/A"/>
    <x v="2"/>
    <x v="96"/>
  </r>
  <r>
    <x v="2"/>
    <x v="70"/>
    <s v="N/A"/>
    <x v="2"/>
    <x v="96"/>
  </r>
  <r>
    <x v="4"/>
    <x v="71"/>
    <s v="N/A"/>
    <x v="2"/>
    <x v="97"/>
  </r>
  <r>
    <x v="4"/>
    <x v="49"/>
    <s v="N/A"/>
    <x v="2"/>
    <x v="98"/>
  </r>
  <r>
    <x v="7"/>
    <x v="72"/>
    <n v="56.464285714285715"/>
    <x v="10"/>
    <x v="99"/>
  </r>
  <r>
    <x v="8"/>
    <x v="73"/>
    <m/>
    <x v="11"/>
    <x v="9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s v="Government tax"/>
    <x v="0"/>
    <s v="N/A"/>
    <n v="11517"/>
    <x v="0"/>
    <n v="2022"/>
    <s v="Fam"/>
  </r>
  <r>
    <s v="OSHC"/>
    <x v="0"/>
    <n v="54.106000000000002"/>
    <n v="78345"/>
    <x v="0"/>
    <n v="2022"/>
    <s v="Fam"/>
  </r>
  <r>
    <s v="Fees"/>
    <x v="0"/>
    <n v="54.106000000000002"/>
    <n v="731068"/>
    <x v="0"/>
    <n v="2022"/>
    <s v="Fam"/>
  </r>
  <r>
    <s v="Fees"/>
    <x v="0"/>
    <n v="54.106000000000002"/>
    <n v="100000"/>
    <x v="1"/>
    <n v="2022"/>
    <s v="Loan"/>
  </r>
  <r>
    <s v="Ssaf"/>
    <x v="1"/>
    <s v="N/A"/>
    <s v="N/A"/>
    <x v="2"/>
    <n v="2023"/>
    <s v="Me"/>
  </r>
  <r>
    <s v="Fees"/>
    <x v="2"/>
    <s v="N/A"/>
    <s v="N/A"/>
    <x v="3"/>
    <n v="2023"/>
    <s v="Me"/>
  </r>
  <r>
    <s v="Fees"/>
    <x v="0"/>
    <n v="55.22"/>
    <n v="467937"/>
    <x v="4"/>
    <n v="2023"/>
    <s v="Fam"/>
  </r>
  <r>
    <s v="Fees"/>
    <x v="0"/>
    <n v="55.22"/>
    <n v="250000"/>
    <x v="4"/>
    <n v="2023"/>
    <s v="Loan"/>
  </r>
  <r>
    <s v="Fees"/>
    <x v="3"/>
    <s v="N/A"/>
    <s v="N/A"/>
    <x v="5"/>
    <n v="2024"/>
    <s v="Me"/>
  </r>
  <r>
    <s v="Fees"/>
    <x v="0"/>
    <n v="55.54"/>
    <n v="450000"/>
    <x v="6"/>
    <n v="2024"/>
    <s v="Fam"/>
  </r>
  <r>
    <s v="Fees"/>
    <x v="0"/>
    <n v="55.54"/>
    <n v="126048"/>
    <x v="6"/>
    <n v="2024"/>
    <s v="Loan"/>
  </r>
  <r>
    <s v="Total"/>
    <x v="4"/>
    <n v="54.83400000000001"/>
    <n v="2214915"/>
    <x v="7"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9">
  <r>
    <s v="None"/>
    <n v="0"/>
    <x v="0"/>
    <n v="2023"/>
    <n v="15"/>
    <n v="15"/>
    <n v="15"/>
    <n v="1"/>
  </r>
  <r>
    <s v="Grocery"/>
    <n v="10.7"/>
    <x v="0"/>
    <n v="2023"/>
    <n v="15"/>
    <n v="4.3000000000000007"/>
    <n v="15"/>
    <n v="1"/>
  </r>
  <r>
    <s v="Grocery"/>
    <n v="4.75"/>
    <x v="0"/>
    <n v="2023"/>
    <n v="4.3000000000000007"/>
    <n v="-0.44999999999999929"/>
    <n v="15"/>
    <n v="1"/>
  </r>
  <r>
    <s v="Grocery"/>
    <n v="3"/>
    <x v="0"/>
    <n v="2023"/>
    <n v="-0.44999999999999929"/>
    <n v="-3.4499999999999993"/>
    <n v="15"/>
    <n v="1"/>
  </r>
  <r>
    <s v="Eat out"/>
    <n v="6"/>
    <x v="1"/>
    <n v="2023"/>
    <n v="11.55"/>
    <n v="5.5500000000000007"/>
    <n v="30"/>
    <n v="2"/>
  </r>
  <r>
    <s v="Grocery"/>
    <n v="13.625"/>
    <x v="1"/>
    <n v="2023"/>
    <n v="5.5500000000000007"/>
    <n v="-8.0749999999999993"/>
    <n v="30"/>
    <n v="2"/>
  </r>
  <r>
    <s v="Eat out"/>
    <n v="6"/>
    <x v="2"/>
    <n v="2023"/>
    <n v="6.9250000000000007"/>
    <n v="0.92500000000000071"/>
    <n v="45"/>
    <n v="3"/>
  </r>
  <r>
    <s v="Grocery"/>
    <n v="31.2"/>
    <x v="2"/>
    <n v="2023"/>
    <n v="0.92500000000000071"/>
    <n v="-30.274999999999999"/>
    <n v="45"/>
    <n v="3"/>
  </r>
  <r>
    <s v="Eat out"/>
    <n v="1.5"/>
    <x v="3"/>
    <n v="2023"/>
    <n v="-15.274999999999999"/>
    <n v="-16.774999999999999"/>
    <n v="60"/>
    <n v="4"/>
  </r>
  <r>
    <s v="Grocery"/>
    <n v="5.05"/>
    <x v="3"/>
    <n v="2023"/>
    <n v="-16.774999999999999"/>
    <n v="-21.824999999999999"/>
    <n v="60"/>
    <n v="4"/>
  </r>
  <r>
    <s v="Eat out"/>
    <n v="6"/>
    <x v="4"/>
    <n v="2023"/>
    <n v="-6.8249999999999993"/>
    <n v="-12.824999999999999"/>
    <n v="75"/>
    <n v="5"/>
  </r>
  <r>
    <s v="Grocery"/>
    <n v="3.3"/>
    <x v="4"/>
    <n v="2023"/>
    <n v="-12.824999999999999"/>
    <n v="-16.125"/>
    <n v="75"/>
    <n v="5"/>
  </r>
  <r>
    <s v="Eat out"/>
    <n v="1.5"/>
    <x v="5"/>
    <n v="2023"/>
    <n v="-1.125"/>
    <n v="-2.625"/>
    <n v="90"/>
    <n v="6"/>
  </r>
  <r>
    <s v="Eat out"/>
    <n v="2"/>
    <x v="6"/>
    <n v="2023"/>
    <n v="12.375"/>
    <n v="10.375"/>
    <n v="105"/>
    <n v="7"/>
  </r>
  <r>
    <s v="Eat out"/>
    <n v="25.75"/>
    <x v="6"/>
    <n v="2023"/>
    <n v="10.375"/>
    <n v="-15.375"/>
    <n v="105"/>
    <n v="7"/>
  </r>
  <r>
    <s v="Eat out"/>
    <n v="6"/>
    <x v="7"/>
    <n v="2023"/>
    <n v="-0.375"/>
    <n v="-6.375"/>
    <n v="120"/>
    <n v="8"/>
  </r>
  <r>
    <s v="Eat out"/>
    <n v="1"/>
    <x v="7"/>
    <n v="2023"/>
    <n v="-6.375"/>
    <n v="-7.375"/>
    <n v="120"/>
    <n v="8"/>
  </r>
  <r>
    <s v="Eat out"/>
    <n v="3"/>
    <x v="8"/>
    <n v="2023"/>
    <n v="7.625"/>
    <n v="4.625"/>
    <n v="135"/>
    <n v="9"/>
  </r>
  <r>
    <s v="Eat out"/>
    <n v="6"/>
    <x v="9"/>
    <n v="2023"/>
    <n v="19.625"/>
    <n v="13.625"/>
    <n v="150"/>
    <n v="10"/>
  </r>
  <r>
    <s v="Grocery"/>
    <n v="1.8"/>
    <x v="9"/>
    <n v="2023"/>
    <n v="13.625"/>
    <n v="11.824999999999999"/>
    <n v="150"/>
    <n v="10"/>
  </r>
  <r>
    <s v="Eat out"/>
    <n v="1"/>
    <x v="10"/>
    <n v="2023"/>
    <n v="26.824999999999999"/>
    <n v="25.824999999999999"/>
    <n v="165"/>
    <n v="11"/>
  </r>
  <r>
    <s v="Eat out"/>
    <n v="4.5"/>
    <x v="10"/>
    <n v="2023"/>
    <n v="25.824999999999999"/>
    <n v="21.324999999999999"/>
    <n v="165"/>
    <n v="11"/>
  </r>
  <r>
    <s v="Eat out"/>
    <n v="4.5"/>
    <x v="11"/>
    <n v="2023"/>
    <n v="36.325000000000003"/>
    <n v="31.825000000000003"/>
    <n v="180"/>
    <n v="12"/>
  </r>
  <r>
    <s v="Eat out"/>
    <n v="1"/>
    <x v="11"/>
    <n v="2023"/>
    <n v="31.825000000000003"/>
    <n v="30.825000000000003"/>
    <n v="180"/>
    <n v="12"/>
  </r>
  <r>
    <s v="Grocery"/>
    <n v="0.9"/>
    <x v="11"/>
    <n v="2023"/>
    <n v="30.825000000000003"/>
    <n v="29.925000000000004"/>
    <n v="180"/>
    <n v="12"/>
  </r>
  <r>
    <s v="Eat out"/>
    <n v="1.5"/>
    <x v="12"/>
    <n v="2023"/>
    <n v="44.925000000000004"/>
    <n v="43.425000000000004"/>
    <n v="195"/>
    <n v="13"/>
  </r>
  <r>
    <s v="Eat out"/>
    <n v="1"/>
    <x v="12"/>
    <n v="2023"/>
    <n v="43.425000000000004"/>
    <n v="42.425000000000004"/>
    <n v="195"/>
    <n v="13"/>
  </r>
  <r>
    <s v="Eat out"/>
    <n v="25.7"/>
    <x v="12"/>
    <n v="2023"/>
    <n v="42.425000000000004"/>
    <n v="16.725000000000005"/>
    <n v="195"/>
    <n v="13"/>
  </r>
  <r>
    <s v="Eat out"/>
    <n v="6"/>
    <x v="13"/>
    <n v="2023"/>
    <n v="31.725000000000005"/>
    <n v="25.725000000000005"/>
    <n v="210"/>
    <n v="14"/>
  </r>
  <r>
    <s v="Grocery"/>
    <n v="14.9"/>
    <x v="13"/>
    <n v="2023"/>
    <n v="25.725000000000005"/>
    <n v="10.825000000000005"/>
    <n v="210"/>
    <n v="14"/>
  </r>
  <r>
    <s v="Eat out"/>
    <n v="6"/>
    <x v="14"/>
    <n v="2023"/>
    <n v="25.825000000000003"/>
    <n v="19.825000000000003"/>
    <n v="225"/>
    <n v="15"/>
  </r>
  <r>
    <s v="Eat out"/>
    <n v="1"/>
    <x v="14"/>
    <n v="2023"/>
    <n v="19.825000000000003"/>
    <n v="18.825000000000003"/>
    <n v="225"/>
    <n v="15"/>
  </r>
  <r>
    <s v="None"/>
    <n v="0"/>
    <x v="15"/>
    <n v="2023"/>
    <n v="33.825000000000003"/>
    <n v="33.825000000000003"/>
    <n v="240"/>
    <n v="16"/>
  </r>
  <r>
    <s v="Eat out"/>
    <n v="1"/>
    <x v="16"/>
    <n v="2023"/>
    <n v="48.825000000000003"/>
    <n v="47.825000000000003"/>
    <n v="255"/>
    <n v="17"/>
  </r>
  <r>
    <s v="Eat out"/>
    <n v="1"/>
    <x v="16"/>
    <n v="2023"/>
    <n v="47.825000000000003"/>
    <n v="46.825000000000003"/>
    <n v="255"/>
    <n v="17"/>
  </r>
  <r>
    <s v="Eat out"/>
    <n v="0.5"/>
    <x v="16"/>
    <n v="2023"/>
    <n v="46.825000000000003"/>
    <n v="46.325000000000003"/>
    <n v="255"/>
    <n v="17"/>
  </r>
  <r>
    <s v="Eat out"/>
    <n v="6"/>
    <x v="17"/>
    <n v="2023"/>
    <n v="61.325000000000003"/>
    <n v="55.325000000000003"/>
    <n v="270"/>
    <n v="18"/>
  </r>
  <r>
    <s v="Eat out"/>
    <n v="1"/>
    <x v="18"/>
    <n v="2023"/>
    <n v="70.325000000000003"/>
    <n v="69.325000000000003"/>
    <n v="285"/>
    <n v="19"/>
  </r>
  <r>
    <s v="None"/>
    <n v="0"/>
    <x v="19"/>
    <n v="2023"/>
    <n v="84.325000000000003"/>
    <n v="84.325000000000003"/>
    <n v="300"/>
    <n v="20"/>
  </r>
  <r>
    <s v="Eat out"/>
    <n v="1"/>
    <x v="20"/>
    <n v="2023"/>
    <n v="99.325000000000003"/>
    <n v="98.325000000000003"/>
    <n v="315"/>
    <n v="21"/>
  </r>
  <r>
    <s v="Grocery"/>
    <n v="5.9"/>
    <x v="20"/>
    <n v="2023"/>
    <n v="98.325000000000003"/>
    <n v="92.424999999999997"/>
    <n v="315"/>
    <n v="21"/>
  </r>
  <r>
    <s v="Eat out"/>
    <n v="6"/>
    <x v="21"/>
    <n v="2023"/>
    <n v="107.425"/>
    <n v="101.425"/>
    <n v="330"/>
    <n v="22"/>
  </r>
  <r>
    <s v="Eat out"/>
    <n v="1"/>
    <x v="22"/>
    <n v="2023"/>
    <n v="116.425"/>
    <n v="115.425"/>
    <n v="345"/>
    <n v="23"/>
  </r>
  <r>
    <s v="Eat out"/>
    <n v="1"/>
    <x v="22"/>
    <n v="2023"/>
    <n v="115.425"/>
    <n v="114.425"/>
    <n v="345"/>
    <n v="23"/>
  </r>
  <r>
    <s v="Eat out"/>
    <n v="1"/>
    <x v="23"/>
    <n v="2023"/>
    <n v="129.42500000000001"/>
    <n v="128.42500000000001"/>
    <n v="360"/>
    <n v="24"/>
  </r>
  <r>
    <s v="None"/>
    <n v="0"/>
    <x v="24"/>
    <n v="2023"/>
    <n v="143.42500000000001"/>
    <n v="143.42500000000001"/>
    <n v="375"/>
    <n v="25"/>
  </r>
  <r>
    <s v="Eat out"/>
    <n v="1"/>
    <x v="25"/>
    <n v="2023"/>
    <n v="158.42500000000001"/>
    <n v="157.42500000000001"/>
    <n v="390"/>
    <n v="26"/>
  </r>
  <r>
    <s v="Eat out"/>
    <n v="6"/>
    <x v="25"/>
    <n v="2023"/>
    <n v="157.42500000000001"/>
    <n v="151.42500000000001"/>
    <n v="390"/>
    <n v="26"/>
  </r>
  <r>
    <s v="None"/>
    <n v="0"/>
    <x v="26"/>
    <n v="2023"/>
    <n v="166.42500000000001"/>
    <n v="166.42500000000001"/>
    <n v="405"/>
    <n v="27"/>
  </r>
  <r>
    <s v="Grocery"/>
    <n v="1.85"/>
    <x v="26"/>
    <n v="2023"/>
    <n v="166.42500000000001"/>
    <n v="164.57500000000002"/>
    <n v="405"/>
    <n v="27"/>
  </r>
  <r>
    <s v="Grocery"/>
    <n v="8.4"/>
    <x v="26"/>
    <n v="2023"/>
    <n v="164.57500000000002"/>
    <n v="156.17500000000001"/>
    <n v="405"/>
    <n v="27"/>
  </r>
  <r>
    <s v="None"/>
    <n v="0"/>
    <x v="27"/>
    <n v="2023"/>
    <n v="171.17500000000001"/>
    <n v="171.17500000000001"/>
    <n v="420"/>
    <n v="28"/>
  </r>
  <r>
    <s v="Eat out"/>
    <n v="1"/>
    <x v="28"/>
    <n v="2023"/>
    <n v="186.17500000000001"/>
    <n v="185.17500000000001"/>
    <n v="435"/>
    <n v="29"/>
  </r>
  <r>
    <s v="None"/>
    <n v="0"/>
    <x v="29"/>
    <n v="2023"/>
    <n v="200.17500000000001"/>
    <n v="200.17500000000001"/>
    <n v="450"/>
    <n v="30"/>
  </r>
  <r>
    <s v="None"/>
    <n v="0"/>
    <x v="30"/>
    <n v="2023"/>
    <n v="215.17500000000001"/>
    <n v="215.17500000000001"/>
    <n v="465"/>
    <n v="31"/>
  </r>
  <r>
    <s v="Eat out"/>
    <n v="1"/>
    <x v="31"/>
    <n v="2023"/>
    <n v="230.17500000000001"/>
    <n v="229.17500000000001"/>
    <n v="480"/>
    <n v="32"/>
  </r>
  <r>
    <s v="Eat out"/>
    <n v="1"/>
    <x v="32"/>
    <n v="2023"/>
    <n v="244.17500000000001"/>
    <n v="243.17500000000001"/>
    <n v="495"/>
    <n v="33"/>
  </r>
  <r>
    <s v="Eat out"/>
    <n v="1"/>
    <x v="33"/>
    <n v="2023"/>
    <n v="258.17500000000001"/>
    <n v="257.17500000000001"/>
    <n v="510"/>
    <n v="34"/>
  </r>
  <r>
    <s v="Eat out"/>
    <n v="3"/>
    <x v="33"/>
    <n v="2023"/>
    <n v="257.17500000000001"/>
    <n v="254.17500000000001"/>
    <n v="510"/>
    <n v="34"/>
  </r>
  <r>
    <s v="Eat out"/>
    <n v="12.7"/>
    <x v="33"/>
    <n v="2023"/>
    <n v="254.17500000000001"/>
    <n v="241.47500000000002"/>
    <n v="510"/>
    <n v="34"/>
  </r>
  <r>
    <s v="Grocery"/>
    <n v="9.1750000000000007"/>
    <x v="33"/>
    <n v="2023"/>
    <n v="241.47500000000002"/>
    <n v="232.3"/>
    <n v="510"/>
    <n v="34"/>
  </r>
  <r>
    <s v="Grocery"/>
    <n v="8.7750000000000004"/>
    <x v="33"/>
    <n v="2023"/>
    <n v="232.3"/>
    <n v="223.52500000000001"/>
    <n v="510"/>
    <n v="34"/>
  </r>
  <r>
    <s v="Eat out"/>
    <n v="1"/>
    <x v="34"/>
    <n v="2023"/>
    <n v="238.52500000000001"/>
    <n v="237.52500000000001"/>
    <n v="525"/>
    <n v="35"/>
  </r>
  <r>
    <s v="Eat out"/>
    <n v="8.6199999999999992"/>
    <x v="34"/>
    <n v="2023"/>
    <n v="237.52500000000001"/>
    <n v="228.905"/>
    <n v="525"/>
    <n v="35"/>
  </r>
  <r>
    <s v="Eat out"/>
    <n v="1"/>
    <x v="35"/>
    <n v="2023"/>
    <n v="243.905"/>
    <n v="242.905"/>
    <n v="540"/>
    <n v="36"/>
  </r>
  <r>
    <s v="Eat out"/>
    <n v="2"/>
    <x v="36"/>
    <n v="2023"/>
    <n v="257.90499999999997"/>
    <n v="255.90499999999997"/>
    <n v="555"/>
    <n v="37"/>
  </r>
  <r>
    <s v="Eat out"/>
    <n v="1"/>
    <x v="37"/>
    <n v="2023"/>
    <n v="270.90499999999997"/>
    <n v="269.90499999999997"/>
    <n v="570"/>
    <n v="38"/>
  </r>
  <r>
    <s v="Eat out"/>
    <n v="6"/>
    <x v="37"/>
    <n v="2023"/>
    <n v="269.90499999999997"/>
    <n v="263.90499999999997"/>
    <n v="570"/>
    <n v="38"/>
  </r>
  <r>
    <s v="Eat out"/>
    <n v="8"/>
    <x v="38"/>
    <n v="2023"/>
    <n v="278.90499999999997"/>
    <n v="270.90499999999997"/>
    <n v="585"/>
    <n v="39"/>
  </r>
  <r>
    <s v="Eat out"/>
    <n v="1"/>
    <x v="38"/>
    <n v="2023"/>
    <n v="270.90499999999997"/>
    <n v="269.90499999999997"/>
    <n v="585"/>
    <n v="39"/>
  </r>
  <r>
    <s v="None"/>
    <n v="0"/>
    <x v="39"/>
    <n v="2023"/>
    <n v="284.90499999999997"/>
    <n v="284.90499999999997"/>
    <n v="600"/>
    <n v="40"/>
  </r>
  <r>
    <s v="Eat out"/>
    <n v="1"/>
    <x v="40"/>
    <n v="2023"/>
    <n v="299.90499999999997"/>
    <n v="298.90499999999997"/>
    <n v="615"/>
    <n v="41"/>
  </r>
  <r>
    <s v="Eat out"/>
    <n v="7.5"/>
    <x v="40"/>
    <n v="2023"/>
    <n v="298.90499999999997"/>
    <n v="291.40499999999997"/>
    <n v="615"/>
    <n v="41"/>
  </r>
  <r>
    <s v="None"/>
    <n v="0"/>
    <x v="41"/>
    <n v="2023"/>
    <n v="306.40499999999997"/>
    <n v="306.40499999999997"/>
    <n v="630"/>
    <n v="42"/>
  </r>
  <r>
    <s v="Grocery"/>
    <n v="9.8000000000000007"/>
    <x v="41"/>
    <n v="2023"/>
    <n v="306.40499999999997"/>
    <n v="296.60499999999996"/>
    <n v="630"/>
    <n v="42"/>
  </r>
  <r>
    <s v="None"/>
    <n v="0"/>
    <x v="42"/>
    <n v="2023"/>
    <n v="311.60499999999996"/>
    <n v="311.60499999999996"/>
    <n v="645"/>
    <n v="43"/>
  </r>
  <r>
    <s v="None"/>
    <n v="0"/>
    <x v="43"/>
    <n v="2023"/>
    <n v="326.60499999999996"/>
    <n v="326.60499999999996"/>
    <n v="660"/>
    <n v="44"/>
  </r>
  <r>
    <s v="Eat out"/>
    <n v="1"/>
    <x v="44"/>
    <n v="2023"/>
    <n v="341.60499999999996"/>
    <n v="340.60499999999996"/>
    <n v="675"/>
    <n v="45"/>
  </r>
  <r>
    <s v="Eat out"/>
    <n v="6"/>
    <x v="45"/>
    <n v="2023"/>
    <n v="355.60499999999996"/>
    <n v="349.60499999999996"/>
    <n v="690"/>
    <n v="46"/>
  </r>
  <r>
    <s v="Eat out"/>
    <n v="1"/>
    <x v="45"/>
    <n v="2023"/>
    <n v="349.60499999999996"/>
    <n v="348.60499999999996"/>
    <n v="690"/>
    <n v="46"/>
  </r>
  <r>
    <s v="Eat out"/>
    <n v="1"/>
    <x v="46"/>
    <n v="2023"/>
    <n v="363.60499999999996"/>
    <n v="362.60499999999996"/>
    <n v="705"/>
    <n v="47"/>
  </r>
  <r>
    <s v="Eat out"/>
    <n v="0.8"/>
    <x v="47"/>
    <n v="2023"/>
    <n v="377.60499999999996"/>
    <n v="376.80499999999995"/>
    <n v="720"/>
    <n v="48"/>
  </r>
  <r>
    <s v="Eat out"/>
    <n v="3"/>
    <x v="47"/>
    <n v="2023"/>
    <n v="376.80499999999995"/>
    <n v="373.80499999999995"/>
    <n v="720"/>
    <n v="48"/>
  </r>
  <r>
    <s v="None"/>
    <n v="0"/>
    <x v="48"/>
    <n v="2023"/>
    <n v="388.80499999999995"/>
    <n v="388.80499999999995"/>
    <n v="735"/>
    <n v="49"/>
  </r>
  <r>
    <s v="Eat out"/>
    <n v="1"/>
    <x v="49"/>
    <n v="2023"/>
    <n v="403.80499999999995"/>
    <n v="402.80499999999995"/>
    <n v="750"/>
    <n v="50"/>
  </r>
  <r>
    <s v="Eat out"/>
    <n v="3"/>
    <x v="50"/>
    <n v="2023"/>
    <n v="417.80499999999995"/>
    <n v="414.80499999999995"/>
    <n v="765"/>
    <n v="51"/>
  </r>
  <r>
    <s v="Eat out"/>
    <n v="7.5"/>
    <x v="51"/>
    <n v="2023"/>
    <n v="429.80499999999995"/>
    <n v="422.30499999999995"/>
    <n v="780"/>
    <n v="52"/>
  </r>
  <r>
    <s v="Eat out"/>
    <n v="1"/>
    <x v="51"/>
    <n v="2023"/>
    <n v="422.30499999999995"/>
    <n v="421.30499999999995"/>
    <n v="780"/>
    <n v="52"/>
  </r>
  <r>
    <s v="Eat out"/>
    <n v="3"/>
    <x v="52"/>
    <n v="2023"/>
    <n v="436.30499999999995"/>
    <n v="433.30499999999995"/>
    <n v="795"/>
    <n v="53"/>
  </r>
  <r>
    <s v="Eat out"/>
    <n v="1"/>
    <x v="52"/>
    <n v="2023"/>
    <n v="433.30499999999995"/>
    <n v="432.30499999999995"/>
    <n v="795"/>
    <n v="53"/>
  </r>
  <r>
    <s v="Eat out"/>
    <n v="2"/>
    <x v="53"/>
    <n v="2023"/>
    <n v="447.30499999999995"/>
    <n v="445.30499999999995"/>
    <n v="810"/>
    <n v="54"/>
  </r>
  <r>
    <s v="Eat out"/>
    <n v="29.03"/>
    <x v="53"/>
    <n v="2023"/>
    <n v="445.30499999999995"/>
    <n v="416.27499999999998"/>
    <n v="810"/>
    <n v="54"/>
  </r>
  <r>
    <s v="Eat out"/>
    <n v="2"/>
    <x v="54"/>
    <n v="2023"/>
    <n v="431.27499999999998"/>
    <n v="429.27499999999998"/>
    <n v="825"/>
    <n v="55"/>
  </r>
  <r>
    <s v="Eat out"/>
    <n v="4.8"/>
    <x v="54"/>
    <n v="2023"/>
    <n v="429.27499999999998"/>
    <n v="424.47499999999997"/>
    <n v="825"/>
    <n v="55"/>
  </r>
  <r>
    <s v="Grocery"/>
    <n v="12"/>
    <x v="55"/>
    <n v="2023"/>
    <n v="439.47499999999997"/>
    <n v="427.47499999999997"/>
    <n v="840"/>
    <n v="56"/>
  </r>
  <r>
    <s v="Grocery"/>
    <n v="12.35"/>
    <x v="55"/>
    <n v="2023"/>
    <n v="427.47499999999997"/>
    <n v="415.12499999999994"/>
    <n v="840"/>
    <n v="56"/>
  </r>
  <r>
    <s v="Eat out"/>
    <n v="1"/>
    <x v="56"/>
    <n v="2023"/>
    <n v="430.12499999999994"/>
    <n v="429.12499999999994"/>
    <n v="855"/>
    <n v="57"/>
  </r>
  <r>
    <s v="Eat out"/>
    <n v="1"/>
    <x v="57"/>
    <n v="2023"/>
    <n v="444.12499999999994"/>
    <n v="443.12499999999994"/>
    <n v="870"/>
    <n v="58"/>
  </r>
  <r>
    <s v="Eat out"/>
    <n v="3"/>
    <x v="58"/>
    <n v="2023"/>
    <n v="458.12499999999994"/>
    <n v="455.12499999999994"/>
    <n v="885"/>
    <n v="59"/>
  </r>
  <r>
    <s v="Eat out"/>
    <n v="7.5"/>
    <x v="58"/>
    <n v="2023"/>
    <n v="455.12499999999994"/>
    <n v="447.62499999999994"/>
    <n v="885"/>
    <n v="59"/>
  </r>
  <r>
    <s v="Eat out"/>
    <n v="1"/>
    <x v="58"/>
    <n v="2023"/>
    <n v="447.62499999999994"/>
    <n v="446.62499999999994"/>
    <n v="885"/>
    <n v="59"/>
  </r>
  <r>
    <s v="Eat out"/>
    <n v="19.989999999999998"/>
    <x v="59"/>
    <n v="2023"/>
    <n v="461.62499999999994"/>
    <n v="441.63499999999993"/>
    <n v="900"/>
    <n v="60"/>
  </r>
  <r>
    <s v="Eat out"/>
    <n v="0.4"/>
    <x v="60"/>
    <n v="2023"/>
    <n v="456.63499999999993"/>
    <n v="456.23499999999996"/>
    <n v="915"/>
    <n v="61"/>
  </r>
  <r>
    <s v="Eat out"/>
    <n v="7.5"/>
    <x v="61"/>
    <n v="2023"/>
    <n v="471.23499999999996"/>
    <n v="463.73499999999996"/>
    <n v="930"/>
    <n v="62"/>
  </r>
  <r>
    <s v="Eat out"/>
    <n v="4"/>
    <x v="61"/>
    <n v="2023"/>
    <n v="463.73499999999996"/>
    <n v="459.73499999999996"/>
    <n v="930"/>
    <n v="62"/>
  </r>
  <r>
    <s v="None"/>
    <n v="0"/>
    <x v="62"/>
    <n v="2023"/>
    <n v="474.73499999999996"/>
    <n v="474.73499999999996"/>
    <n v="945"/>
    <n v="63"/>
  </r>
  <r>
    <s v="None"/>
    <n v="0"/>
    <x v="63"/>
    <n v="2023"/>
    <n v="489.73499999999996"/>
    <n v="489.73499999999996"/>
    <n v="960"/>
    <n v="64"/>
  </r>
  <r>
    <s v="Eat out"/>
    <n v="9"/>
    <x v="64"/>
    <n v="2023"/>
    <n v="504.73499999999996"/>
    <n v="495.73499999999996"/>
    <n v="975"/>
    <n v="65"/>
  </r>
  <r>
    <s v="Eat out"/>
    <n v="1"/>
    <x v="64"/>
    <n v="2023"/>
    <n v="495.73499999999996"/>
    <n v="494.73499999999996"/>
    <n v="975"/>
    <n v="65"/>
  </r>
  <r>
    <s v="Eat out"/>
    <n v="1"/>
    <x v="65"/>
    <n v="2023"/>
    <n v="509.73499999999996"/>
    <n v="508.73499999999996"/>
    <n v="990"/>
    <n v="66"/>
  </r>
  <r>
    <s v="Eat out"/>
    <n v="7"/>
    <x v="66"/>
    <n v="2023"/>
    <n v="523.7349999999999"/>
    <n v="516.7349999999999"/>
    <n v="1005"/>
    <n v="67"/>
  </r>
  <r>
    <s v="Eat out"/>
    <n v="5.95"/>
    <x v="67"/>
    <n v="2023"/>
    <n v="531.7349999999999"/>
    <n v="525.78499999999985"/>
    <n v="1020"/>
    <n v="68"/>
  </r>
  <r>
    <s v="Eat out"/>
    <n v="29.15"/>
    <x v="68"/>
    <n v="2023"/>
    <n v="540.78499999999985"/>
    <n v="511.63499999999988"/>
    <n v="1035"/>
    <n v="69"/>
  </r>
  <r>
    <s v="Eat out"/>
    <n v="1"/>
    <x v="68"/>
    <n v="2023"/>
    <n v="511.63499999999988"/>
    <n v="510.63499999999988"/>
    <n v="1035"/>
    <n v="69"/>
  </r>
  <r>
    <s v="Grocery"/>
    <n v="16.16"/>
    <x v="69"/>
    <n v="2023"/>
    <n v="525.63499999999988"/>
    <n v="509.47499999999985"/>
    <n v="1050"/>
    <n v="70"/>
  </r>
  <r>
    <s v="Grocery"/>
    <n v="10.65"/>
    <x v="69"/>
    <n v="2023"/>
    <n v="509.47499999999985"/>
    <n v="498.82499999999987"/>
    <n v="1050"/>
    <n v="70"/>
  </r>
  <r>
    <s v="Grocery"/>
    <n v="8.5"/>
    <x v="70"/>
    <n v="2023"/>
    <n v="513.82499999999982"/>
    <n v="505.32499999999982"/>
    <n v="1065"/>
    <n v="71"/>
  </r>
  <r>
    <s v="Grocery"/>
    <n v="7.625"/>
    <x v="70"/>
    <n v="2023"/>
    <n v="505.32499999999982"/>
    <n v="497.69999999999982"/>
    <n v="1065"/>
    <n v="71"/>
  </r>
  <r>
    <s v="Eat out"/>
    <n v="1"/>
    <x v="70"/>
    <n v="2023"/>
    <n v="497.69999999999982"/>
    <n v="496.69999999999982"/>
    <n v="1065"/>
    <n v="71"/>
  </r>
  <r>
    <s v="Eat out"/>
    <n v="17.54"/>
    <x v="71"/>
    <n v="2023"/>
    <n v="511.69999999999982"/>
    <n v="494.1599999999998"/>
    <n v="1080"/>
    <n v="72"/>
  </r>
  <r>
    <s v="Eat out"/>
    <n v="7.5"/>
    <x v="72"/>
    <n v="2023"/>
    <n v="509.1599999999998"/>
    <n v="501.6599999999998"/>
    <n v="1095"/>
    <n v="73"/>
  </r>
  <r>
    <s v="Eat out"/>
    <n v="6.25"/>
    <x v="73"/>
    <n v="2023"/>
    <n v="516.65999999999985"/>
    <n v="510.40999999999985"/>
    <n v="1110"/>
    <n v="74"/>
  </r>
  <r>
    <s v="Eat out"/>
    <n v="1"/>
    <x v="73"/>
    <n v="2023"/>
    <n v="510.40999999999985"/>
    <n v="509.40999999999985"/>
    <n v="1110"/>
    <n v="74"/>
  </r>
  <r>
    <s v="Eat out"/>
    <n v="1"/>
    <x v="74"/>
    <n v="2023"/>
    <n v="524.40999999999985"/>
    <n v="523.40999999999985"/>
    <n v="1125"/>
    <n v="75"/>
  </r>
  <r>
    <s v="Eat out"/>
    <n v="7.5"/>
    <x v="74"/>
    <n v="2023"/>
    <n v="523.40999999999985"/>
    <n v="515.90999999999985"/>
    <n v="1125"/>
    <n v="75"/>
  </r>
  <r>
    <s v="Eat out"/>
    <n v="8"/>
    <x v="75"/>
    <n v="2023"/>
    <n v="530.90999999999985"/>
    <n v="522.90999999999985"/>
    <n v="1140"/>
    <n v="76"/>
  </r>
  <r>
    <s v="Eat out"/>
    <n v="21"/>
    <x v="76"/>
    <n v="2023"/>
    <n v="537.90999999999985"/>
    <n v="516.90999999999985"/>
    <n v="1155"/>
    <n v="77"/>
  </r>
  <r>
    <s v="None"/>
    <n v="0"/>
    <x v="77"/>
    <n v="2023"/>
    <n v="531.90999999999985"/>
    <n v="531.90999999999985"/>
    <n v="1170"/>
    <n v="78"/>
  </r>
  <r>
    <s v="Eat out"/>
    <n v="10.62"/>
    <x v="78"/>
    <n v="2023"/>
    <n v="546.90999999999985"/>
    <n v="536.28999999999985"/>
    <n v="1185"/>
    <n v="79"/>
  </r>
  <r>
    <s v="Eat out"/>
    <n v="7.2"/>
    <x v="79"/>
    <n v="2023"/>
    <n v="551.28999999999985"/>
    <n v="544.0899999999998"/>
    <n v="1200"/>
    <n v="80"/>
  </r>
  <r>
    <s v="Eat out"/>
    <n v="7.75"/>
    <x v="80"/>
    <n v="2023"/>
    <n v="559.0899999999998"/>
    <n v="551.3399999999998"/>
    <n v="1215"/>
    <n v="81"/>
  </r>
  <r>
    <s v="Eat out"/>
    <n v="12.3"/>
    <x v="81"/>
    <n v="2023"/>
    <n v="566.3399999999998"/>
    <n v="554.03999999999985"/>
    <n v="1230"/>
    <n v="82"/>
  </r>
  <r>
    <s v="Grocery"/>
    <n v="35.659999999999997"/>
    <x v="82"/>
    <n v="2023"/>
    <n v="569.03999999999985"/>
    <n v="533.37999999999988"/>
    <n v="1245"/>
    <n v="83"/>
  </r>
  <r>
    <s v="Eat out"/>
    <n v="1"/>
    <x v="83"/>
    <n v="2023"/>
    <n v="548.37999999999988"/>
    <n v="547.37999999999988"/>
    <n v="1260"/>
    <n v="84"/>
  </r>
  <r>
    <s v="None"/>
    <n v="0"/>
    <x v="84"/>
    <n v="2023"/>
    <n v="562.37999999999988"/>
    <n v="562.37999999999988"/>
    <n v="1275"/>
    <n v="85"/>
  </r>
  <r>
    <s v="None"/>
    <n v="0"/>
    <x v="85"/>
    <n v="2023"/>
    <n v="577.37999999999988"/>
    <n v="577.37999999999988"/>
    <n v="1290"/>
    <n v="86"/>
  </r>
  <r>
    <s v="Eat out"/>
    <n v="1"/>
    <x v="86"/>
    <n v="2023"/>
    <n v="592.37999999999988"/>
    <n v="591.37999999999988"/>
    <n v="1305"/>
    <n v="87"/>
  </r>
  <r>
    <s v="Eat out"/>
    <n v="7.5"/>
    <x v="87"/>
    <n v="2023"/>
    <n v="606.37999999999988"/>
    <n v="598.87999999999988"/>
    <n v="1320"/>
    <n v="88"/>
  </r>
  <r>
    <s v="Eat out"/>
    <n v="4.3499999999999996"/>
    <x v="88"/>
    <n v="2023"/>
    <n v="613.87999999999988"/>
    <n v="609.52999999999986"/>
    <n v="1335"/>
    <n v="89"/>
  </r>
  <r>
    <s v="Party"/>
    <n v="40.4"/>
    <x v="88"/>
    <n v="2023"/>
    <n v="609.52999999999986"/>
    <n v="569.12999999999988"/>
    <n v="1335"/>
    <n v="89"/>
  </r>
  <r>
    <s v="Eat out"/>
    <n v="1"/>
    <x v="89"/>
    <n v="2023"/>
    <n v="584.12999999999988"/>
    <n v="583.12999999999988"/>
    <n v="1350"/>
    <n v="90"/>
  </r>
  <r>
    <s v="Eat out"/>
    <n v="10"/>
    <x v="90"/>
    <n v="2023"/>
    <n v="598.12999999999988"/>
    <n v="588.12999999999988"/>
    <n v="1365"/>
    <n v="91"/>
  </r>
  <r>
    <s v="Grocery"/>
    <n v="12"/>
    <x v="90"/>
    <n v="2023"/>
    <n v="588.12999999999988"/>
    <n v="576.12999999999988"/>
    <n v="1365"/>
    <n v="91"/>
  </r>
  <r>
    <s v="Eat out"/>
    <n v="8.5"/>
    <x v="91"/>
    <n v="2023"/>
    <n v="591.12999999999988"/>
    <n v="582.62999999999988"/>
    <n v="1380"/>
    <n v="92"/>
  </r>
  <r>
    <s v="Eat out"/>
    <n v="1.8"/>
    <x v="92"/>
    <n v="2023"/>
    <n v="597.62999999999988"/>
    <n v="595.82999999999993"/>
    <n v="1395"/>
    <n v="93"/>
  </r>
  <r>
    <s v="Grocery"/>
    <n v="45.7"/>
    <x v="92"/>
    <n v="2023"/>
    <n v="595.82999999999993"/>
    <n v="550.12999999999988"/>
    <n v="1395"/>
    <n v="93"/>
  </r>
  <r>
    <s v="Eat out"/>
    <n v="1"/>
    <x v="93"/>
    <n v="2023"/>
    <n v="565.12999999999988"/>
    <n v="564.12999999999988"/>
    <n v="1410"/>
    <n v="94"/>
  </r>
  <r>
    <s v="None"/>
    <n v="0"/>
    <x v="94"/>
    <n v="2023"/>
    <n v="579.12999999999988"/>
    <n v="579.12999999999988"/>
    <n v="1425"/>
    <n v="95"/>
  </r>
  <r>
    <s v="Eat out"/>
    <n v="2"/>
    <x v="95"/>
    <n v="2023"/>
    <n v="594.12999999999988"/>
    <n v="592.12999999999988"/>
    <n v="1440"/>
    <n v="96"/>
  </r>
  <r>
    <s v="None"/>
    <n v="0"/>
    <x v="96"/>
    <n v="2023"/>
    <n v="607.12999999999988"/>
    <n v="607.12999999999988"/>
    <n v="1455"/>
    <n v="97"/>
  </r>
  <r>
    <s v="None"/>
    <n v="0"/>
    <x v="97"/>
    <n v="2023"/>
    <n v="622.12999999999988"/>
    <n v="622.12999999999988"/>
    <n v="1470"/>
    <n v="98"/>
  </r>
  <r>
    <s v="Eat out"/>
    <n v="0.8"/>
    <x v="98"/>
    <n v="2023"/>
    <n v="637.12999999999988"/>
    <n v="636.32999999999993"/>
    <n v="1485"/>
    <n v="99"/>
  </r>
  <r>
    <s v="Eat out"/>
    <n v="4"/>
    <x v="98"/>
    <n v="2023"/>
    <n v="636.32999999999993"/>
    <n v="632.32999999999993"/>
    <n v="1485"/>
    <n v="99"/>
  </r>
  <r>
    <s v="Party"/>
    <n v="32"/>
    <x v="98"/>
    <n v="2023"/>
    <n v="632.32999999999993"/>
    <n v="600.32999999999993"/>
    <n v="1485"/>
    <n v="99"/>
  </r>
  <r>
    <s v="Eat out"/>
    <n v="2"/>
    <x v="99"/>
    <n v="2023"/>
    <n v="615.32999999999993"/>
    <n v="613.32999999999993"/>
    <n v="1500"/>
    <n v="100"/>
  </r>
  <r>
    <s v="Grocery"/>
    <n v="15"/>
    <x v="100"/>
    <n v="2023"/>
    <n v="628.32999999999993"/>
    <n v="613.32999999999993"/>
    <n v="1515"/>
    <n v="101"/>
  </r>
  <r>
    <s v="Grocery"/>
    <n v="30.25"/>
    <x v="100"/>
    <n v="2023"/>
    <n v="613.32999999999993"/>
    <n v="583.07999999999993"/>
    <n v="1515"/>
    <n v="101"/>
  </r>
  <r>
    <s v="Eat out"/>
    <n v="3.9"/>
    <x v="101"/>
    <n v="2023"/>
    <n v="598.07999999999993"/>
    <n v="594.17999999999995"/>
    <n v="1530"/>
    <n v="102"/>
  </r>
  <r>
    <s v="Eat out"/>
    <n v="1"/>
    <x v="102"/>
    <n v="2023"/>
    <n v="609.17999999999995"/>
    <n v="608.17999999999995"/>
    <n v="1545"/>
    <n v="103"/>
  </r>
  <r>
    <s v="None"/>
    <n v="0"/>
    <x v="103"/>
    <n v="2023"/>
    <n v="623.17999999999995"/>
    <n v="623.17999999999995"/>
    <n v="1560"/>
    <n v="104"/>
  </r>
  <r>
    <s v="None"/>
    <n v="0"/>
    <x v="104"/>
    <n v="2023"/>
    <n v="638.17999999999995"/>
    <n v="638.17999999999995"/>
    <n v="1575"/>
    <n v="105"/>
  </r>
  <r>
    <s v="None"/>
    <n v="0"/>
    <x v="105"/>
    <n v="2023"/>
    <n v="653.17999999999995"/>
    <n v="653.17999999999995"/>
    <n v="1590"/>
    <n v="106"/>
  </r>
  <r>
    <s v="Eat out"/>
    <n v="7.5"/>
    <x v="106"/>
    <n v="2023"/>
    <n v="668.18"/>
    <n v="660.68"/>
    <n v="1605"/>
    <n v="107"/>
  </r>
  <r>
    <s v="Grocery"/>
    <n v="18.75"/>
    <x v="106"/>
    <n v="2023"/>
    <n v="660.68"/>
    <n v="641.92999999999995"/>
    <n v="1605"/>
    <n v="107"/>
  </r>
  <r>
    <s v="Grocery"/>
    <n v="2"/>
    <x v="107"/>
    <n v="2023"/>
    <n v="656.93"/>
    <n v="654.92999999999995"/>
    <n v="1620"/>
    <n v="108"/>
  </r>
  <r>
    <s v="None"/>
    <n v="0"/>
    <x v="108"/>
    <n v="2023"/>
    <n v="669.93"/>
    <n v="669.93"/>
    <n v="1635"/>
    <n v="109"/>
  </r>
  <r>
    <s v="Grocery"/>
    <n v="6.95"/>
    <x v="109"/>
    <n v="2023"/>
    <n v="684.93"/>
    <n v="677.9799999999999"/>
    <n v="1650"/>
    <n v="110"/>
  </r>
  <r>
    <s v="Eat out"/>
    <n v="4.7"/>
    <x v="109"/>
    <n v="2023"/>
    <n v="677.9799999999999"/>
    <n v="673.27999999999986"/>
    <n v="1650"/>
    <n v="110"/>
  </r>
  <r>
    <s v="None"/>
    <n v="0"/>
    <x v="110"/>
    <n v="2023"/>
    <n v="688.27999999999986"/>
    <n v="688.27999999999986"/>
    <n v="1665"/>
    <n v="111"/>
  </r>
  <r>
    <s v="None"/>
    <n v="0"/>
    <x v="111"/>
    <n v="2023"/>
    <n v="703.27999999999986"/>
    <n v="703.27999999999986"/>
    <n v="1680"/>
    <n v="112"/>
  </r>
  <r>
    <s v="Grocery"/>
    <n v="26"/>
    <x v="112"/>
    <n v="2023"/>
    <n v="718.27999999999986"/>
    <n v="692.27999999999986"/>
    <n v="1695"/>
    <n v="113"/>
  </r>
  <r>
    <s v="None"/>
    <n v="0"/>
    <x v="113"/>
    <n v="2023"/>
    <n v="707.27999999999986"/>
    <n v="707.27999999999986"/>
    <n v="1710"/>
    <n v="114"/>
  </r>
  <r>
    <s v="Eat out"/>
    <n v="1"/>
    <x v="114"/>
    <n v="2023"/>
    <n v="722.27999999999986"/>
    <n v="721.27999999999986"/>
    <n v="1725"/>
    <n v="115"/>
  </r>
  <r>
    <s v="None"/>
    <n v="0"/>
    <x v="115"/>
    <n v="2023"/>
    <n v="736.27999999999986"/>
    <n v="736.27999999999986"/>
    <n v="1740"/>
    <n v="116"/>
  </r>
  <r>
    <s v="Eat out"/>
    <n v="1"/>
    <x v="116"/>
    <n v="2023"/>
    <n v="751.27999999999986"/>
    <n v="750.27999999999986"/>
    <n v="1755"/>
    <n v="117"/>
  </r>
  <r>
    <s v="Grocery"/>
    <n v="13.9"/>
    <x v="117"/>
    <n v="2023"/>
    <n v="765.27999999999986"/>
    <n v="751.37999999999988"/>
    <n v="1770"/>
    <n v="118"/>
  </r>
  <r>
    <s v="Eat out"/>
    <n v="1"/>
    <x v="118"/>
    <n v="2023"/>
    <n v="766.37999999999988"/>
    <n v="765.37999999999988"/>
    <n v="1785"/>
    <n v="119"/>
  </r>
  <r>
    <s v="None"/>
    <n v="0"/>
    <x v="119"/>
    <n v="2023"/>
    <n v="780.37999999999988"/>
    <n v="780.37999999999988"/>
    <n v="1800"/>
    <n v="120"/>
  </r>
  <r>
    <s v="Eat out"/>
    <n v="2"/>
    <x v="120"/>
    <n v="2023"/>
    <n v="795.37999999999988"/>
    <n v="793.37999999999988"/>
    <n v="1815"/>
    <n v="121"/>
  </r>
  <r>
    <s v="None"/>
    <n v="0"/>
    <x v="121"/>
    <n v="2023"/>
    <n v="808.37999999999988"/>
    <n v="808.37999999999988"/>
    <n v="1830"/>
    <n v="122"/>
  </r>
  <r>
    <s v="Grocery"/>
    <n v="53.5"/>
    <x v="122"/>
    <n v="2023"/>
    <n v="823.37999999999988"/>
    <n v="769.87999999999988"/>
    <n v="1845"/>
    <n v="123"/>
  </r>
  <r>
    <s v="Eat out"/>
    <n v="7.5"/>
    <x v="123"/>
    <n v="2023"/>
    <n v="784.87999999999988"/>
    <n v="777.37999999999988"/>
    <n v="1860"/>
    <n v="124"/>
  </r>
  <r>
    <s v="Eat out"/>
    <n v="1"/>
    <x v="124"/>
    <n v="2023"/>
    <n v="792.37999999999988"/>
    <n v="791.37999999999988"/>
    <n v="1875"/>
    <n v="125"/>
  </r>
  <r>
    <s v="None"/>
    <n v="0"/>
    <x v="125"/>
    <n v="2023"/>
    <n v="806.37999999999988"/>
    <n v="806.37999999999988"/>
    <n v="1890"/>
    <n v="126"/>
  </r>
  <r>
    <s v="None"/>
    <n v="0"/>
    <x v="126"/>
    <n v="2023"/>
    <n v="821.37999999999988"/>
    <n v="821.37999999999988"/>
    <n v="1905"/>
    <n v="127"/>
  </r>
  <r>
    <s v="Eat out"/>
    <n v="1"/>
    <x v="127"/>
    <n v="2023"/>
    <n v="836.37999999999988"/>
    <n v="835.37999999999988"/>
    <n v="1920"/>
    <n v="128"/>
  </r>
  <r>
    <s v="Eat out"/>
    <n v="12"/>
    <x v="128"/>
    <n v="2023"/>
    <n v="850.37999999999988"/>
    <n v="838.37999999999988"/>
    <n v="1935"/>
    <n v="129"/>
  </r>
  <r>
    <s v="Party"/>
    <n v="69"/>
    <x v="129"/>
    <n v="2023"/>
    <n v="853.37999999999988"/>
    <n v="784.37999999999988"/>
    <n v="1950"/>
    <n v="130"/>
  </r>
  <r>
    <s v="Party"/>
    <n v="30"/>
    <x v="129"/>
    <n v="2023"/>
    <n v="784.37999999999988"/>
    <n v="754.37999999999988"/>
    <n v="1950"/>
    <n v="130"/>
  </r>
  <r>
    <s v="Grocery"/>
    <n v="53.5"/>
    <x v="130"/>
    <n v="2023"/>
    <n v="769.37999999999988"/>
    <n v="715.87999999999988"/>
    <n v="1965"/>
    <n v="131"/>
  </r>
  <r>
    <s v="Party"/>
    <n v="25"/>
    <x v="131"/>
    <n v="2023"/>
    <n v="730.87999999999988"/>
    <n v="705.87999999999988"/>
    <n v="1980"/>
    <n v="132"/>
  </r>
  <r>
    <s v="None"/>
    <n v="0"/>
    <x v="132"/>
    <n v="2023"/>
    <n v="720.87999999999988"/>
    <n v="720.87999999999988"/>
    <n v="1995"/>
    <n v="133"/>
  </r>
  <r>
    <s v="Eat out"/>
    <n v="1"/>
    <x v="133"/>
    <n v="2023"/>
    <n v="735.87999999999988"/>
    <n v="734.87999999999988"/>
    <n v="2010"/>
    <n v="134"/>
  </r>
  <r>
    <s v="Grocery"/>
    <n v="4.2"/>
    <x v="134"/>
    <n v="2023"/>
    <n v="749.87999999999988"/>
    <n v="745.67999999999984"/>
    <n v="2025"/>
    <n v="135"/>
  </r>
  <r>
    <s v="Eat out"/>
    <n v="29.9"/>
    <x v="134"/>
    <n v="2023"/>
    <n v="745.67999999999984"/>
    <n v="715.77999999999986"/>
    <n v="2025"/>
    <n v="135"/>
  </r>
  <r>
    <s v="None"/>
    <n v="0"/>
    <x v="135"/>
    <n v="2023"/>
    <n v="730.77999999999986"/>
    <n v="730.77999999999986"/>
    <n v="2040"/>
    <n v="136"/>
  </r>
  <r>
    <s v="None"/>
    <n v="0"/>
    <x v="136"/>
    <n v="2023"/>
    <n v="745.77999999999986"/>
    <n v="745.77999999999986"/>
    <n v="2055"/>
    <n v="137"/>
  </r>
  <r>
    <s v="None"/>
    <n v="0"/>
    <x v="137"/>
    <n v="2023"/>
    <n v="760.77999999999986"/>
    <n v="760.77999999999986"/>
    <n v="2070"/>
    <n v="138"/>
  </r>
  <r>
    <s v="Grocery"/>
    <n v="22.78"/>
    <x v="138"/>
    <n v="2023"/>
    <n v="775.77999999999986"/>
    <n v="752.99999999999989"/>
    <n v="2085"/>
    <n v="139"/>
  </r>
  <r>
    <s v="Grocery"/>
    <n v="22.9"/>
    <x v="138"/>
    <n v="2023"/>
    <n v="752.99999999999989"/>
    <n v="730.09999999999991"/>
    <n v="2085"/>
    <n v="139"/>
  </r>
  <r>
    <s v="Grocery"/>
    <n v="15.05"/>
    <x v="139"/>
    <n v="2023"/>
    <n v="745.09999999999991"/>
    <n v="730.05"/>
    <n v="2100"/>
    <n v="140"/>
  </r>
  <r>
    <s v="None"/>
    <n v="0"/>
    <x v="140"/>
    <n v="2023"/>
    <n v="745.05"/>
    <n v="745.05"/>
    <n v="2115"/>
    <n v="141"/>
  </r>
  <r>
    <s v="Eat out"/>
    <n v="13.95"/>
    <x v="141"/>
    <n v="2023"/>
    <n v="760.05"/>
    <n v="746.09999999999991"/>
    <n v="2130"/>
    <n v="142"/>
  </r>
  <r>
    <s v="None"/>
    <n v="0"/>
    <x v="142"/>
    <n v="2023"/>
    <n v="761.09999999999991"/>
    <n v="761.09999999999991"/>
    <n v="2145"/>
    <n v="143"/>
  </r>
  <r>
    <s v="None"/>
    <n v="0"/>
    <x v="143"/>
    <n v="2023"/>
    <n v="776.09999999999991"/>
    <n v="776.09999999999991"/>
    <n v="2160"/>
    <n v="144"/>
  </r>
  <r>
    <s v="None"/>
    <n v="0"/>
    <x v="144"/>
    <n v="2023"/>
    <n v="791.09999999999991"/>
    <n v="791.09999999999991"/>
    <n v="2175"/>
    <n v="145"/>
  </r>
  <r>
    <s v="Eat out"/>
    <n v="2"/>
    <x v="145"/>
    <n v="2023"/>
    <n v="806.09999999999991"/>
    <n v="804.09999999999991"/>
    <n v="2190"/>
    <n v="146"/>
  </r>
  <r>
    <s v="Eat out"/>
    <n v="1"/>
    <x v="146"/>
    <n v="2023"/>
    <n v="819.09999999999991"/>
    <n v="818.09999999999991"/>
    <n v="2205"/>
    <n v="147"/>
  </r>
  <r>
    <s v="Grocery"/>
    <n v="12"/>
    <x v="146"/>
    <n v="2023"/>
    <n v="818.09999999999991"/>
    <n v="806.09999999999991"/>
    <n v="2205"/>
    <n v="147"/>
  </r>
  <r>
    <s v="Grocery"/>
    <n v="10"/>
    <x v="146"/>
    <n v="2023"/>
    <n v="806.09999999999991"/>
    <n v="796.09999999999991"/>
    <n v="2205"/>
    <n v="147"/>
  </r>
  <r>
    <s v="Grocery"/>
    <n v="12"/>
    <x v="147"/>
    <n v="2023"/>
    <n v="811.09999999999991"/>
    <n v="799.09999999999991"/>
    <n v="2220"/>
    <n v="148"/>
  </r>
  <r>
    <s v="Eat out"/>
    <n v="1.8"/>
    <x v="148"/>
    <n v="2023"/>
    <n v="814.09999999999991"/>
    <n v="812.3"/>
    <n v="2235"/>
    <n v="149"/>
  </r>
  <r>
    <s v="None"/>
    <n v="0"/>
    <x v="149"/>
    <n v="2023"/>
    <n v="827.3"/>
    <n v="827.3"/>
    <n v="2250"/>
    <n v="150"/>
  </r>
  <r>
    <s v="None"/>
    <n v="0"/>
    <x v="150"/>
    <n v="2023"/>
    <n v="842.3"/>
    <n v="842.3"/>
    <n v="2265"/>
    <n v="151"/>
  </r>
  <r>
    <s v="None"/>
    <n v="0"/>
    <x v="151"/>
    <n v="2023"/>
    <n v="857.3"/>
    <n v="857.3"/>
    <n v="2280"/>
    <n v="152"/>
  </r>
  <r>
    <s v="None"/>
    <n v="0"/>
    <x v="152"/>
    <n v="2023"/>
    <n v="872.3"/>
    <n v="872.3"/>
    <n v="2295"/>
    <n v="153"/>
  </r>
  <r>
    <s v="Eat out"/>
    <n v="1"/>
    <x v="153"/>
    <n v="2023"/>
    <n v="887.3"/>
    <n v="886.3"/>
    <n v="2310"/>
    <n v="154"/>
  </r>
  <r>
    <s v="Eat out"/>
    <n v="1"/>
    <x v="154"/>
    <n v="2023"/>
    <n v="901.3"/>
    <n v="900.3"/>
    <n v="2325"/>
    <n v="155"/>
  </r>
  <r>
    <s v="Eat out"/>
    <n v="3.37"/>
    <x v="155"/>
    <n v="2023"/>
    <n v="915.3"/>
    <n v="911.93"/>
    <n v="2340"/>
    <n v="156"/>
  </r>
  <r>
    <s v="Grocery"/>
    <n v="53.55"/>
    <x v="155"/>
    <n v="2023"/>
    <n v="911.93"/>
    <n v="858.38"/>
    <n v="2340"/>
    <n v="156"/>
  </r>
  <r>
    <s v="Eat out"/>
    <n v="15.06"/>
    <x v="156"/>
    <n v="2023"/>
    <n v="873.38"/>
    <n v="858.32"/>
    <n v="2355"/>
    <n v="157"/>
  </r>
  <r>
    <s v="None"/>
    <n v="0"/>
    <x v="157"/>
    <n v="2023"/>
    <n v="873.32"/>
    <n v="873.32"/>
    <n v="2370"/>
    <n v="158"/>
  </r>
  <r>
    <s v="None"/>
    <n v="0"/>
    <x v="158"/>
    <n v="2023"/>
    <n v="888.32"/>
    <n v="888.32"/>
    <n v="2385"/>
    <n v="159"/>
  </r>
  <r>
    <s v="Eat out"/>
    <n v="1.8"/>
    <x v="159"/>
    <n v="2023"/>
    <n v="903.32"/>
    <n v="901.5200000000001"/>
    <n v="2400"/>
    <n v="160"/>
  </r>
  <r>
    <s v="None"/>
    <n v="0"/>
    <x v="160"/>
    <n v="2023"/>
    <n v="916.5200000000001"/>
    <n v="916.5200000000001"/>
    <n v="2415"/>
    <n v="161"/>
  </r>
  <r>
    <s v="None"/>
    <n v="0"/>
    <x v="161"/>
    <n v="2023"/>
    <n v="931.5200000000001"/>
    <n v="931.5200000000001"/>
    <n v="2430"/>
    <n v="162"/>
  </r>
  <r>
    <s v="Eat out"/>
    <n v="8.5"/>
    <x v="162"/>
    <n v="2023"/>
    <n v="946.5200000000001"/>
    <n v="938.0200000000001"/>
    <n v="2445"/>
    <n v="163"/>
  </r>
  <r>
    <s v="Grocery"/>
    <n v="5.04"/>
    <x v="162"/>
    <n v="2023"/>
    <n v="938.0200000000001"/>
    <n v="932.98000000000013"/>
    <n v="2445"/>
    <n v="163"/>
  </r>
  <r>
    <s v="Grocery"/>
    <n v="48.3"/>
    <x v="162"/>
    <n v="2023"/>
    <n v="932.98000000000013"/>
    <n v="884.68000000000018"/>
    <n v="2445"/>
    <n v="163"/>
  </r>
  <r>
    <s v="Grocery"/>
    <n v="1.75"/>
    <x v="163"/>
    <n v="2023"/>
    <n v="899.68000000000018"/>
    <n v="897.93000000000018"/>
    <n v="2460"/>
    <n v="164"/>
  </r>
  <r>
    <s v="None"/>
    <n v="0"/>
    <x v="164"/>
    <n v="2023"/>
    <n v="912.93000000000018"/>
    <n v="912.93000000000018"/>
    <n v="2475"/>
    <n v="165"/>
  </r>
  <r>
    <s v="Eat out"/>
    <n v="1.8"/>
    <x v="165"/>
    <n v="2023"/>
    <n v="927.93000000000018"/>
    <n v="926.13000000000022"/>
    <n v="2490"/>
    <n v="166"/>
  </r>
  <r>
    <s v="Eat out"/>
    <n v="1"/>
    <x v="166"/>
    <n v="2023"/>
    <n v="941.13000000000022"/>
    <n v="940.13000000000022"/>
    <n v="2505"/>
    <n v="167"/>
  </r>
  <r>
    <s v="Eat out"/>
    <n v="2.8"/>
    <x v="167"/>
    <n v="2023"/>
    <n v="955.13000000000022"/>
    <n v="952.33000000000027"/>
    <n v="2520"/>
    <n v="168"/>
  </r>
  <r>
    <s v="Grocery"/>
    <n v="99"/>
    <x v="168"/>
    <n v="2023"/>
    <n v="967.33000000000027"/>
    <n v="868.33000000000027"/>
    <n v="2535"/>
    <n v="169"/>
  </r>
  <r>
    <s v="None"/>
    <n v="0"/>
    <x v="169"/>
    <n v="2023"/>
    <n v="883.33000000000027"/>
    <n v="883.33000000000027"/>
    <n v="2550"/>
    <n v="170"/>
  </r>
  <r>
    <s v="Eat out"/>
    <n v="1.1499999999999999"/>
    <x v="170"/>
    <n v="2023"/>
    <n v="898.33000000000027"/>
    <n v="897.18000000000029"/>
    <n v="2565"/>
    <n v="171"/>
  </r>
  <r>
    <s v="Eat out"/>
    <n v="4"/>
    <x v="171"/>
    <n v="2023"/>
    <n v="912.18000000000029"/>
    <n v="908.18000000000029"/>
    <n v="2580"/>
    <n v="172"/>
  </r>
  <r>
    <s v="Eat out"/>
    <n v="2.83"/>
    <x v="172"/>
    <n v="2023"/>
    <n v="923.18000000000029"/>
    <n v="920.35000000000025"/>
    <n v="2595"/>
    <n v="173"/>
  </r>
  <r>
    <s v="Eat out"/>
    <n v="16"/>
    <x v="173"/>
    <n v="2023"/>
    <n v="935.35000000000025"/>
    <n v="919.35000000000025"/>
    <n v="2610"/>
    <n v="174"/>
  </r>
  <r>
    <s v="Eat out"/>
    <n v="1.1499999999999999"/>
    <x v="174"/>
    <n v="2023"/>
    <n v="934.35000000000025"/>
    <n v="933.20000000000027"/>
    <n v="2625"/>
    <n v="175"/>
  </r>
  <r>
    <s v="Eat out"/>
    <n v="2.5"/>
    <x v="175"/>
    <n v="2023"/>
    <n v="948.20000000000027"/>
    <n v="945.70000000000027"/>
    <n v="2640"/>
    <n v="176"/>
  </r>
  <r>
    <s v="Eat out"/>
    <n v="9.6300000000000008"/>
    <x v="175"/>
    <n v="2023"/>
    <n v="945.70000000000027"/>
    <n v="936.07000000000028"/>
    <n v="2640"/>
    <n v="176"/>
  </r>
  <r>
    <s v="Grocery"/>
    <n v="2.15"/>
    <x v="176"/>
    <n v="2023"/>
    <n v="951.07000000000028"/>
    <n v="948.9200000000003"/>
    <n v="2655"/>
    <n v="177"/>
  </r>
  <r>
    <s v="Eat out"/>
    <n v="6"/>
    <x v="177"/>
    <n v="2023"/>
    <n v="963.9200000000003"/>
    <n v="957.9200000000003"/>
    <n v="2670"/>
    <n v="178"/>
  </r>
  <r>
    <s v="Eat out"/>
    <n v="2"/>
    <x v="178"/>
    <n v="2023"/>
    <n v="972.9200000000003"/>
    <n v="970.9200000000003"/>
    <n v="2685"/>
    <n v="179"/>
  </r>
  <r>
    <s v="Eat out"/>
    <n v="16"/>
    <x v="179"/>
    <n v="2023"/>
    <n v="985.9200000000003"/>
    <n v="969.9200000000003"/>
    <n v="2700"/>
    <n v="180"/>
  </r>
  <r>
    <s v="Grocery"/>
    <n v="66.86"/>
    <x v="180"/>
    <n v="2023"/>
    <n v="984.9200000000003"/>
    <n v="918.06000000000029"/>
    <n v="2715"/>
    <n v="181"/>
  </r>
  <r>
    <s v="Grocery"/>
    <n v="20.350000000000001"/>
    <x v="181"/>
    <n v="2023"/>
    <n v="933.06000000000029"/>
    <n v="912.71000000000026"/>
    <n v="2730"/>
    <n v="182"/>
  </r>
  <r>
    <s v="Eat out"/>
    <n v="3.1"/>
    <x v="182"/>
    <n v="2023"/>
    <n v="927.71000000000026"/>
    <n v="924.61000000000024"/>
    <n v="2745"/>
    <n v="183"/>
  </r>
  <r>
    <s v="Eat out"/>
    <n v="1.8"/>
    <x v="183"/>
    <n v="2023"/>
    <n v="939.61000000000024"/>
    <n v="937.81000000000029"/>
    <n v="2760"/>
    <n v="184"/>
  </r>
  <r>
    <s v="Eat out"/>
    <n v="12"/>
    <x v="184"/>
    <n v="2023"/>
    <n v="952.81000000000029"/>
    <n v="940.81000000000029"/>
    <n v="2775"/>
    <n v="185"/>
  </r>
  <r>
    <s v="Eat out"/>
    <n v="16"/>
    <x v="185"/>
    <n v="2023"/>
    <n v="955.81000000000029"/>
    <n v="939.81000000000029"/>
    <n v="2790"/>
    <n v="186"/>
  </r>
  <r>
    <s v="Eat out"/>
    <n v="1.8"/>
    <x v="186"/>
    <n v="2023"/>
    <n v="954.81000000000029"/>
    <n v="953.01000000000033"/>
    <n v="2805"/>
    <n v="187"/>
  </r>
  <r>
    <s v="Eat out"/>
    <n v="1.8"/>
    <x v="187"/>
    <n v="2023"/>
    <n v="968.01000000000033"/>
    <n v="966.21000000000038"/>
    <n v="2820"/>
    <n v="188"/>
  </r>
  <r>
    <s v="None"/>
    <n v="0"/>
    <x v="188"/>
    <n v="2023"/>
    <n v="981.21000000000038"/>
    <n v="981.21000000000038"/>
    <n v="2835"/>
    <n v="189"/>
  </r>
  <r>
    <s v="Eat out"/>
    <n v="19"/>
    <x v="189"/>
    <n v="2023"/>
    <n v="996.21000000000038"/>
    <n v="977.21000000000038"/>
    <n v="2850"/>
    <n v="190"/>
  </r>
  <r>
    <s v="Eat out"/>
    <n v="1.8"/>
    <x v="190"/>
    <n v="2023"/>
    <n v="992.21000000000038"/>
    <n v="990.41000000000042"/>
    <n v="2865"/>
    <n v="191"/>
  </r>
  <r>
    <s v="Grocery"/>
    <n v="52.36"/>
    <x v="190"/>
    <n v="2023"/>
    <n v="990.41000000000042"/>
    <n v="938.05000000000041"/>
    <n v="2865"/>
    <n v="191"/>
  </r>
  <r>
    <s v="Eat out"/>
    <n v="2.8"/>
    <x v="191"/>
    <n v="2023"/>
    <n v="953.05000000000041"/>
    <n v="950.25000000000045"/>
    <n v="2880"/>
    <n v="192"/>
  </r>
  <r>
    <s v="None"/>
    <n v="0"/>
    <x v="192"/>
    <n v="2023"/>
    <n v="965.25000000000045"/>
    <n v="965.25000000000045"/>
    <n v="2895"/>
    <n v="193"/>
  </r>
  <r>
    <s v="Eat out"/>
    <n v="2"/>
    <x v="193"/>
    <n v="2023"/>
    <n v="980.25000000000045"/>
    <n v="978.25000000000045"/>
    <n v="2910"/>
    <n v="194"/>
  </r>
  <r>
    <s v="Eat out"/>
    <n v="24.5"/>
    <x v="194"/>
    <n v="2023"/>
    <n v="993.25000000000045"/>
    <n v="968.75000000000045"/>
    <n v="2925"/>
    <n v="195"/>
  </r>
  <r>
    <s v="Grocery"/>
    <n v="37.9"/>
    <x v="195"/>
    <n v="2023"/>
    <n v="983.75000000000045"/>
    <n v="945.85000000000048"/>
    <n v="2940"/>
    <n v="196"/>
  </r>
  <r>
    <s v="None"/>
    <n v="0"/>
    <x v="196"/>
    <n v="2023"/>
    <n v="960.85000000000048"/>
    <n v="960.85000000000048"/>
    <n v="2955"/>
    <n v="197"/>
  </r>
  <r>
    <s v="Eat out"/>
    <n v="13.2"/>
    <x v="197"/>
    <n v="2023"/>
    <n v="975.85000000000048"/>
    <n v="962.65000000000043"/>
    <n v="2970"/>
    <n v="198"/>
  </r>
  <r>
    <s v="None"/>
    <n v="0"/>
    <x v="198"/>
    <n v="2023"/>
    <n v="977.65000000000043"/>
    <n v="977.65000000000043"/>
    <n v="2985"/>
    <n v="199"/>
  </r>
  <r>
    <s v="Eat out"/>
    <n v="27"/>
    <x v="199"/>
    <n v="2023"/>
    <n v="992.65000000000043"/>
    <n v="965.65000000000043"/>
    <n v="3000"/>
    <n v="200"/>
  </r>
  <r>
    <s v="Grocery"/>
    <n v="42"/>
    <x v="200"/>
    <n v="2023"/>
    <n v="980.65000000000043"/>
    <n v="938.65000000000043"/>
    <n v="3015"/>
    <n v="201"/>
  </r>
  <r>
    <s v="Eat out"/>
    <n v="3.15"/>
    <x v="201"/>
    <n v="2023"/>
    <n v="953.65000000000043"/>
    <n v="950.50000000000045"/>
    <n v="3030"/>
    <n v="202"/>
  </r>
  <r>
    <s v="Eat out"/>
    <n v="17.5"/>
    <x v="202"/>
    <n v="2023"/>
    <n v="965.50000000000045"/>
    <n v="948.00000000000045"/>
    <n v="3045"/>
    <n v="203"/>
  </r>
  <r>
    <s v="Eat out"/>
    <n v="2.15"/>
    <x v="203"/>
    <n v="2023"/>
    <n v="963.00000000000045"/>
    <n v="960.85000000000048"/>
    <n v="3060"/>
    <n v="204"/>
  </r>
  <r>
    <s v="Grocery"/>
    <n v="50.2"/>
    <x v="203"/>
    <n v="2023"/>
    <n v="960.85000000000048"/>
    <n v="910.65000000000043"/>
    <n v="3060"/>
    <n v="204"/>
  </r>
  <r>
    <s v="Eat out"/>
    <n v="5.07"/>
    <x v="204"/>
    <n v="2023"/>
    <n v="925.65000000000043"/>
    <n v="920.58000000000038"/>
    <n v="3075"/>
    <n v="205"/>
  </r>
  <r>
    <s v="None"/>
    <n v="0"/>
    <x v="205"/>
    <n v="2023"/>
    <n v="935.58000000000038"/>
    <n v="935.58000000000038"/>
    <n v="3090"/>
    <n v="206"/>
  </r>
  <r>
    <s v="Eat out"/>
    <n v="15.12"/>
    <x v="206"/>
    <n v="2023"/>
    <n v="950.58000000000038"/>
    <n v="935.46000000000038"/>
    <n v="3105"/>
    <n v="207"/>
  </r>
  <r>
    <s v="Eat out"/>
    <n v="4.5999999999999996"/>
    <x v="207"/>
    <n v="2023"/>
    <n v="950.46000000000038"/>
    <n v="945.86000000000035"/>
    <n v="3120"/>
    <n v="208"/>
  </r>
  <r>
    <s v="Eat out"/>
    <n v="9"/>
    <x v="208"/>
    <n v="2023"/>
    <n v="960.86000000000035"/>
    <n v="951.86000000000035"/>
    <n v="3135"/>
    <n v="209"/>
  </r>
  <r>
    <s v="None"/>
    <n v="0"/>
    <x v="209"/>
    <n v="2023"/>
    <n v="966.86000000000035"/>
    <n v="966.86000000000035"/>
    <n v="3150"/>
    <n v="210"/>
  </r>
  <r>
    <s v="None"/>
    <n v="0"/>
    <x v="210"/>
    <n v="2023"/>
    <n v="981.86000000000035"/>
    <n v="981.86000000000035"/>
    <n v="3165"/>
    <n v="211"/>
  </r>
  <r>
    <s v="Eat out"/>
    <n v="9"/>
    <x v="211"/>
    <n v="2023"/>
    <n v="996.86000000000035"/>
    <n v="987.86000000000035"/>
    <n v="3180"/>
    <n v="212"/>
  </r>
  <r>
    <s v="None"/>
    <n v="0"/>
    <x v="212"/>
    <n v="2023"/>
    <n v="1002.8600000000004"/>
    <n v="1002.8600000000004"/>
    <n v="3195"/>
    <n v="213"/>
  </r>
  <r>
    <s v="Eat out"/>
    <n v="21.6"/>
    <x v="213"/>
    <n v="2023"/>
    <n v="1017.8600000000004"/>
    <n v="996.26000000000033"/>
    <n v="3210"/>
    <n v="214"/>
  </r>
  <r>
    <s v="Grocery"/>
    <n v="57.1"/>
    <x v="214"/>
    <n v="2023"/>
    <n v="1011.2600000000003"/>
    <n v="954.16000000000031"/>
    <n v="3225"/>
    <n v="215"/>
  </r>
  <r>
    <s v="Eat out"/>
    <n v="2.15"/>
    <x v="215"/>
    <n v="2023"/>
    <n v="969.16000000000031"/>
    <n v="967.01000000000033"/>
    <n v="3240"/>
    <n v="216"/>
  </r>
  <r>
    <s v="Grocery"/>
    <n v="31.2"/>
    <x v="215"/>
    <n v="2023"/>
    <n v="967.01000000000033"/>
    <n v="935.81000000000029"/>
    <n v="3240"/>
    <n v="216"/>
  </r>
  <r>
    <s v="Eat out"/>
    <n v="4.5"/>
    <x v="216"/>
    <n v="2023"/>
    <n v="950.81000000000029"/>
    <n v="946.31000000000029"/>
    <n v="3255"/>
    <n v="217"/>
  </r>
  <r>
    <s v="Eat out"/>
    <n v="15.35"/>
    <x v="216"/>
    <n v="2023"/>
    <n v="946.31000000000029"/>
    <n v="930.96000000000026"/>
    <n v="3255"/>
    <n v="217"/>
  </r>
  <r>
    <s v="Eat out"/>
    <n v="3"/>
    <x v="217"/>
    <n v="2023"/>
    <n v="945.96000000000026"/>
    <n v="942.96000000000026"/>
    <n v="3270"/>
    <n v="218"/>
  </r>
  <r>
    <s v="None"/>
    <n v="0"/>
    <x v="218"/>
    <n v="2023"/>
    <n v="957.96000000000026"/>
    <n v="957.96000000000026"/>
    <n v="3285"/>
    <n v="219"/>
  </r>
  <r>
    <s v="Eat out"/>
    <n v="2.15"/>
    <x v="219"/>
    <n v="2023"/>
    <n v="972.96000000000026"/>
    <n v="970.81000000000029"/>
    <n v="3300"/>
    <n v="220"/>
  </r>
  <r>
    <s v="Eat out"/>
    <n v="5.5"/>
    <x v="219"/>
    <n v="2023"/>
    <n v="970.81000000000029"/>
    <n v="965.31000000000029"/>
    <n v="3300"/>
    <n v="220"/>
  </r>
  <r>
    <s v="Eat out"/>
    <n v="33.799999999999997"/>
    <x v="220"/>
    <n v="2023"/>
    <n v="980.31000000000029"/>
    <n v="946.51000000000033"/>
    <n v="3315"/>
    <n v="221"/>
  </r>
  <r>
    <s v="Grocery"/>
    <n v="4.3499999999999996"/>
    <x v="221"/>
    <n v="2023"/>
    <n v="961.51000000000033"/>
    <n v="957.16000000000031"/>
    <n v="3330"/>
    <n v="222"/>
  </r>
  <r>
    <s v="None"/>
    <n v="0"/>
    <x v="222"/>
    <n v="2023"/>
    <n v="972.16000000000031"/>
    <n v="972.16000000000031"/>
    <n v="3345"/>
    <n v="223"/>
  </r>
  <r>
    <s v="Eat out"/>
    <n v="4.8"/>
    <x v="223"/>
    <n v="2023"/>
    <n v="987.16000000000031"/>
    <n v="982.36000000000035"/>
    <n v="3360"/>
    <n v="224"/>
  </r>
  <r>
    <s v="Grocery"/>
    <n v="61"/>
    <x v="224"/>
    <n v="2023"/>
    <n v="997.36000000000035"/>
    <n v="936.36000000000035"/>
    <n v="3375"/>
    <n v="225"/>
  </r>
  <r>
    <s v="Eat out"/>
    <n v="8.5"/>
    <x v="225"/>
    <n v="2023"/>
    <n v="951.36000000000035"/>
    <n v="942.86000000000035"/>
    <n v="3390"/>
    <n v="226"/>
  </r>
  <r>
    <s v="Eat out"/>
    <n v="5.07"/>
    <x v="226"/>
    <n v="2023"/>
    <n v="957.86000000000035"/>
    <n v="952.7900000000003"/>
    <n v="3405"/>
    <n v="227"/>
  </r>
  <r>
    <s v="None"/>
    <n v="0"/>
    <x v="227"/>
    <n v="2023"/>
    <n v="967.7900000000003"/>
    <n v="967.7900000000003"/>
    <n v="3420"/>
    <n v="228"/>
  </r>
  <r>
    <s v="Eat out"/>
    <n v="5.07"/>
    <x v="228"/>
    <n v="2023"/>
    <n v="982.7900000000003"/>
    <n v="977.72000000000025"/>
    <n v="3435"/>
    <n v="229"/>
  </r>
  <r>
    <s v="None"/>
    <n v="0"/>
    <x v="229"/>
    <n v="2023"/>
    <n v="992.72000000000025"/>
    <n v="992.72000000000025"/>
    <n v="3450"/>
    <n v="230"/>
  </r>
  <r>
    <s v="Eat out"/>
    <n v="1.5"/>
    <x v="230"/>
    <n v="2023"/>
    <n v="1007.7200000000003"/>
    <n v="1006.2200000000003"/>
    <n v="3465"/>
    <n v="231"/>
  </r>
  <r>
    <s v="Eat out"/>
    <n v="5.07"/>
    <x v="230"/>
    <n v="2023"/>
    <n v="1006.2200000000003"/>
    <n v="1001.1500000000002"/>
    <n v="3465"/>
    <n v="231"/>
  </r>
  <r>
    <s v="Eat out"/>
    <n v="14"/>
    <x v="231"/>
    <n v="2023"/>
    <n v="1016.1500000000002"/>
    <n v="1002.1500000000002"/>
    <n v="3480"/>
    <n v="232"/>
  </r>
  <r>
    <s v="Eat out"/>
    <n v="4"/>
    <x v="232"/>
    <n v="2023"/>
    <n v="1017.1500000000002"/>
    <n v="1013.1500000000002"/>
    <n v="3495"/>
    <n v="233"/>
  </r>
  <r>
    <s v="Grocery"/>
    <n v="49.2"/>
    <x v="232"/>
    <n v="2023"/>
    <n v="1013.1500000000002"/>
    <n v="963.95000000000016"/>
    <n v="3495"/>
    <n v="233"/>
  </r>
  <r>
    <s v="None"/>
    <n v="0"/>
    <x v="233"/>
    <n v="2023"/>
    <n v="978.95000000000016"/>
    <n v="978.95000000000016"/>
    <n v="3510"/>
    <n v="234"/>
  </r>
  <r>
    <s v="Eat out"/>
    <n v="23.5"/>
    <x v="234"/>
    <n v="2023"/>
    <n v="993.95000000000016"/>
    <n v="970.45000000000016"/>
    <n v="3525"/>
    <n v="235"/>
  </r>
  <r>
    <s v="None"/>
    <n v="0"/>
    <x v="235"/>
    <n v="2023"/>
    <n v="985.45000000000016"/>
    <n v="985.45000000000016"/>
    <n v="3540"/>
    <n v="236"/>
  </r>
  <r>
    <s v="Eat out"/>
    <n v="45.5"/>
    <x v="236"/>
    <n v="2023"/>
    <n v="1000.4500000000002"/>
    <n v="954.95000000000016"/>
    <n v="3555"/>
    <n v="237"/>
  </r>
  <r>
    <s v="Eat out"/>
    <n v="4"/>
    <x v="237"/>
    <n v="2023"/>
    <n v="969.95000000000016"/>
    <n v="965.95000000000016"/>
    <n v="3570"/>
    <n v="238"/>
  </r>
  <r>
    <s v="Eat out"/>
    <n v="7.2"/>
    <x v="238"/>
    <n v="2023"/>
    <n v="980.95000000000016"/>
    <n v="973.75000000000011"/>
    <n v="3585"/>
    <n v="239"/>
  </r>
  <r>
    <s v="Grocery"/>
    <n v="40"/>
    <x v="239"/>
    <n v="2023"/>
    <n v="988.75000000000011"/>
    <n v="948.75000000000011"/>
    <n v="3600"/>
    <n v="240"/>
  </r>
  <r>
    <s v="Eat out"/>
    <n v="5"/>
    <x v="240"/>
    <n v="2023"/>
    <n v="963.75000000000011"/>
    <n v="958.75000000000011"/>
    <n v="3615"/>
    <n v="241"/>
  </r>
  <r>
    <s v="None"/>
    <n v="0"/>
    <x v="241"/>
    <n v="2023"/>
    <n v="973.75000000000011"/>
    <n v="973.75000000000011"/>
    <n v="3630"/>
    <n v="242"/>
  </r>
  <r>
    <s v="Eat out"/>
    <n v="70"/>
    <x v="242"/>
    <n v="2023"/>
    <n v="988.75000000000011"/>
    <n v="918.75000000000011"/>
    <n v="3645"/>
    <n v="243"/>
  </r>
  <r>
    <s v="Eat out"/>
    <n v="16"/>
    <x v="243"/>
    <n v="2023"/>
    <n v="933.75000000000011"/>
    <n v="917.75000000000011"/>
    <n v="3660"/>
    <n v="244"/>
  </r>
  <r>
    <s v="Eat out"/>
    <n v="27.5"/>
    <x v="244"/>
    <n v="2023"/>
    <n v="932.75000000000011"/>
    <n v="905.25000000000011"/>
    <n v="3675"/>
    <n v="245"/>
  </r>
  <r>
    <s v="Eat out"/>
    <n v="24.8"/>
    <x v="245"/>
    <n v="2023"/>
    <n v="920.25000000000011"/>
    <n v="895.45000000000016"/>
    <n v="3690"/>
    <n v="246"/>
  </r>
  <r>
    <s v="None"/>
    <n v="0"/>
    <x v="246"/>
    <n v="2023"/>
    <n v="910.45000000000016"/>
    <n v="910.45000000000016"/>
    <n v="3705"/>
    <n v="247"/>
  </r>
  <r>
    <s v="Eat out"/>
    <n v="6"/>
    <x v="247"/>
    <n v="2023"/>
    <n v="925.45000000000016"/>
    <n v="919.45000000000016"/>
    <n v="3720"/>
    <n v="248"/>
  </r>
  <r>
    <s v="Eat out"/>
    <n v="3.2"/>
    <x v="248"/>
    <n v="2023"/>
    <n v="934.45000000000016"/>
    <n v="931.25000000000011"/>
    <n v="3735"/>
    <n v="249"/>
  </r>
  <r>
    <s v="Eat out"/>
    <n v="1.5"/>
    <x v="249"/>
    <n v="2023"/>
    <n v="946.25000000000011"/>
    <n v="944.75000000000011"/>
    <n v="3750"/>
    <n v="250"/>
  </r>
  <r>
    <s v="Grocery"/>
    <n v="85.9"/>
    <x v="250"/>
    <n v="2023"/>
    <n v="959.75000000000011"/>
    <n v="873.85000000000014"/>
    <n v="3765"/>
    <n v="251"/>
  </r>
  <r>
    <s v="Eat out"/>
    <n v="8"/>
    <x v="251"/>
    <n v="2023"/>
    <n v="888.85000000000014"/>
    <n v="880.85000000000014"/>
    <n v="3780"/>
    <n v="252"/>
  </r>
  <r>
    <s v="None"/>
    <n v="0"/>
    <x v="252"/>
    <n v="2023"/>
    <n v="895.85000000000014"/>
    <n v="895.85000000000014"/>
    <n v="3795"/>
    <n v="253"/>
  </r>
  <r>
    <s v="Eat out"/>
    <n v="4.45"/>
    <x v="253"/>
    <n v="2023"/>
    <n v="910.85000000000014"/>
    <n v="906.40000000000009"/>
    <n v="3810"/>
    <n v="254"/>
  </r>
  <r>
    <s v="None"/>
    <n v="0"/>
    <x v="254"/>
    <n v="2023"/>
    <n v="921.40000000000009"/>
    <n v="921.40000000000009"/>
    <n v="3825"/>
    <n v="255"/>
  </r>
  <r>
    <s v="Eat out"/>
    <n v="2.65"/>
    <x v="255"/>
    <n v="2023"/>
    <n v="936.40000000000009"/>
    <n v="933.75000000000011"/>
    <n v="3840"/>
    <n v="256"/>
  </r>
  <r>
    <s v="None"/>
    <n v="0"/>
    <x v="256"/>
    <n v="2023"/>
    <n v="948.75000000000011"/>
    <n v="948.75000000000011"/>
    <n v="3855"/>
    <n v="257"/>
  </r>
  <r>
    <s v="None"/>
    <n v="0"/>
    <x v="257"/>
    <n v="2023"/>
    <n v="963.75000000000011"/>
    <n v="963.75000000000011"/>
    <n v="3870"/>
    <n v="258"/>
  </r>
  <r>
    <s v="Eat out"/>
    <n v="6"/>
    <x v="258"/>
    <n v="2023"/>
    <n v="978.75000000000011"/>
    <n v="972.75000000000011"/>
    <n v="3885"/>
    <n v="259"/>
  </r>
  <r>
    <s v="Eat out"/>
    <n v="46"/>
    <x v="259"/>
    <n v="2023"/>
    <n v="987.75000000000011"/>
    <n v="941.75000000000011"/>
    <n v="3900"/>
    <n v="260"/>
  </r>
  <r>
    <s v="Eat out"/>
    <n v="28"/>
    <x v="260"/>
    <n v="2023"/>
    <n v="956.75000000000011"/>
    <n v="928.75000000000011"/>
    <n v="3915"/>
    <n v="261"/>
  </r>
  <r>
    <s v="Grocery"/>
    <n v="62"/>
    <x v="261"/>
    <n v="2023"/>
    <n v="943.75000000000011"/>
    <n v="881.75000000000011"/>
    <n v="3930"/>
    <n v="262"/>
  </r>
  <r>
    <s v="Eat out"/>
    <n v="4.5"/>
    <x v="261"/>
    <n v="2023"/>
    <n v="881.75000000000011"/>
    <n v="877.25000000000011"/>
    <n v="3930"/>
    <n v="262"/>
  </r>
  <r>
    <s v="None"/>
    <n v="0"/>
    <x v="262"/>
    <n v="2023"/>
    <n v="892.25000000000011"/>
    <n v="892.25000000000011"/>
    <n v="3945"/>
    <n v="263"/>
  </r>
  <r>
    <s v="Eat out"/>
    <n v="15"/>
    <x v="263"/>
    <n v="2023"/>
    <n v="907.25000000000011"/>
    <n v="892.25000000000011"/>
    <n v="3960"/>
    <n v="264"/>
  </r>
  <r>
    <s v="None"/>
    <n v="0"/>
    <x v="264"/>
    <n v="2023"/>
    <n v="907.25000000000011"/>
    <n v="907.25000000000011"/>
    <n v="3975"/>
    <n v="265"/>
  </r>
  <r>
    <s v="Eat out"/>
    <n v="2.2000000000000002"/>
    <x v="265"/>
    <n v="2023"/>
    <n v="922.25000000000011"/>
    <n v="920.05000000000007"/>
    <n v="3990"/>
    <n v="266"/>
  </r>
  <r>
    <s v="Eat out"/>
    <n v="30.8"/>
    <x v="266"/>
    <n v="2023"/>
    <n v="935.05000000000007"/>
    <n v="904.25000000000011"/>
    <n v="4005"/>
    <n v="267"/>
  </r>
  <r>
    <s v="Eat out"/>
    <n v="15"/>
    <x v="267"/>
    <n v="2023"/>
    <n v="919.25000000000011"/>
    <n v="904.25000000000011"/>
    <n v="4020"/>
    <n v="268"/>
  </r>
  <r>
    <s v="Eat out"/>
    <n v="25.5"/>
    <x v="268"/>
    <n v="2023"/>
    <n v="919.25000000000011"/>
    <n v="893.75000000000011"/>
    <n v="4035"/>
    <n v="269"/>
  </r>
  <r>
    <s v="None"/>
    <n v="0"/>
    <x v="269"/>
    <n v="2023"/>
    <n v="908.75000000000011"/>
    <n v="908.75000000000011"/>
    <n v="4050"/>
    <n v="270"/>
  </r>
  <r>
    <s v="Eat out"/>
    <n v="35"/>
    <x v="270"/>
    <n v="2023"/>
    <n v="923.75000000000011"/>
    <n v="888.75000000000011"/>
    <n v="4065"/>
    <n v="271"/>
  </r>
  <r>
    <s v="None"/>
    <n v="0"/>
    <x v="271"/>
    <n v="2023"/>
    <n v="903.75000000000011"/>
    <n v="903.75000000000011"/>
    <n v="4080"/>
    <n v="272"/>
  </r>
  <r>
    <s v="None"/>
    <n v="0"/>
    <x v="272"/>
    <n v="2023"/>
    <n v="918.75000000000011"/>
    <n v="918.75000000000011"/>
    <n v="4095"/>
    <n v="273"/>
  </r>
  <r>
    <s v="None"/>
    <n v="0"/>
    <x v="273"/>
    <n v="2023"/>
    <n v="933.75000000000011"/>
    <n v="933.75000000000011"/>
    <n v="4110"/>
    <n v="274"/>
  </r>
  <r>
    <s v="None"/>
    <n v="0"/>
    <x v="274"/>
    <n v="2023"/>
    <n v="948.75000000000011"/>
    <n v="948.75000000000011"/>
    <n v="4125"/>
    <n v="275"/>
  </r>
  <r>
    <s v="None"/>
    <n v="0"/>
    <x v="275"/>
    <n v="2023"/>
    <n v="963.75000000000011"/>
    <n v="963.75000000000011"/>
    <n v="4140"/>
    <n v="276"/>
  </r>
  <r>
    <s v="None"/>
    <n v="0"/>
    <x v="276"/>
    <n v="2023"/>
    <n v="978.75000000000011"/>
    <n v="978.75000000000011"/>
    <n v="4155"/>
    <n v="277"/>
  </r>
  <r>
    <s v="None"/>
    <n v="0"/>
    <x v="277"/>
    <n v="2023"/>
    <n v="993.75000000000011"/>
    <n v="993.75000000000011"/>
    <n v="4170"/>
    <n v="278"/>
  </r>
  <r>
    <s v="None"/>
    <n v="0"/>
    <x v="278"/>
    <n v="2023"/>
    <n v="1008.7500000000001"/>
    <n v="1008.7500000000001"/>
    <n v="4185"/>
    <n v="279"/>
  </r>
  <r>
    <s v="None"/>
    <n v="0"/>
    <x v="279"/>
    <n v="2023"/>
    <n v="1023.7500000000001"/>
    <n v="1023.7500000000001"/>
    <n v="4200"/>
    <n v="280"/>
  </r>
  <r>
    <s v="None"/>
    <n v="0"/>
    <x v="280"/>
    <n v="2023"/>
    <n v="1038.75"/>
    <n v="1038.75"/>
    <n v="4215"/>
    <n v="281"/>
  </r>
  <r>
    <s v="None"/>
    <n v="0"/>
    <x v="281"/>
    <n v="2023"/>
    <n v="1053.75"/>
    <n v="1053.75"/>
    <n v="4230"/>
    <n v="282"/>
  </r>
  <r>
    <s v="None"/>
    <n v="0"/>
    <x v="282"/>
    <n v="2023"/>
    <n v="1068.75"/>
    <n v="1068.75"/>
    <n v="4245"/>
    <n v="283"/>
  </r>
  <r>
    <s v="None"/>
    <n v="0"/>
    <x v="283"/>
    <n v="2023"/>
    <n v="1083.75"/>
    <n v="1083.75"/>
    <n v="4260"/>
    <n v="284"/>
  </r>
  <r>
    <s v="None"/>
    <n v="0"/>
    <x v="284"/>
    <n v="2023"/>
    <n v="1098.75"/>
    <n v="1098.75"/>
    <n v="4275"/>
    <n v="285"/>
  </r>
  <r>
    <s v="None"/>
    <n v="0"/>
    <x v="285"/>
    <n v="2023"/>
    <n v="1113.75"/>
    <n v="1113.75"/>
    <n v="4290"/>
    <n v="286"/>
  </r>
  <r>
    <s v="None"/>
    <n v="0"/>
    <x v="286"/>
    <n v="2023"/>
    <n v="1128.75"/>
    <n v="1128.75"/>
    <n v="4305"/>
    <n v="287"/>
  </r>
  <r>
    <s v="None"/>
    <n v="0"/>
    <x v="287"/>
    <n v="2023"/>
    <n v="1143.75"/>
    <n v="1143.75"/>
    <n v="4320"/>
    <n v="288"/>
  </r>
  <r>
    <s v="None"/>
    <n v="0"/>
    <x v="288"/>
    <n v="2023"/>
    <n v="1158.75"/>
    <n v="1158.75"/>
    <n v="4335"/>
    <n v="289"/>
  </r>
  <r>
    <s v="None"/>
    <n v="0"/>
    <x v="289"/>
    <n v="2023"/>
    <n v="1173.75"/>
    <n v="1173.75"/>
    <n v="4350"/>
    <n v="290"/>
  </r>
  <r>
    <s v="None"/>
    <n v="0"/>
    <x v="290"/>
    <n v="2023"/>
    <n v="1188.75"/>
    <n v="1188.75"/>
    <n v="4365"/>
    <n v="291"/>
  </r>
  <r>
    <s v="None"/>
    <n v="0"/>
    <x v="291"/>
    <n v="2023"/>
    <n v="1203.75"/>
    <n v="1203.75"/>
    <n v="4380"/>
    <n v="292"/>
  </r>
  <r>
    <s v="None"/>
    <n v="0"/>
    <x v="292"/>
    <n v="2023"/>
    <n v="1218.75"/>
    <n v="1218.75"/>
    <n v="4395"/>
    <n v="293"/>
  </r>
  <r>
    <s v="None"/>
    <n v="0"/>
    <x v="293"/>
    <n v="2023"/>
    <n v="1233.75"/>
    <n v="1233.75"/>
    <n v="4410"/>
    <n v="294"/>
  </r>
  <r>
    <s v="Eat out"/>
    <n v="23"/>
    <x v="294"/>
    <n v="2023"/>
    <n v="1248.75"/>
    <n v="1225.75"/>
    <n v="4425"/>
    <n v="295"/>
  </r>
  <r>
    <s v="Eat out"/>
    <n v="28"/>
    <x v="295"/>
    <n v="2023"/>
    <n v="1240.75"/>
    <n v="1212.75"/>
    <n v="4440"/>
    <n v="296"/>
  </r>
  <r>
    <s v="Eat out"/>
    <n v="4.45"/>
    <x v="296"/>
    <n v="2023"/>
    <n v="1227.75"/>
    <n v="1223.3"/>
    <n v="4455"/>
    <n v="297"/>
  </r>
  <r>
    <s v="Eat out"/>
    <n v="5.63"/>
    <x v="297"/>
    <n v="2023"/>
    <n v="1238.3"/>
    <n v="1232.6699999999998"/>
    <n v="4470"/>
    <n v="298"/>
  </r>
  <r>
    <s v="Eat out"/>
    <n v="0"/>
    <x v="298"/>
    <n v="2023"/>
    <n v="1247.6699999999998"/>
    <n v="1247.6699999999998"/>
    <n v="4485"/>
    <n v="299"/>
  </r>
  <r>
    <s v="Eat out"/>
    <n v="12"/>
    <x v="299"/>
    <n v="2023"/>
    <n v="1262.6699999999998"/>
    <n v="1250.6699999999998"/>
    <n v="4500"/>
    <n v="300"/>
  </r>
  <r>
    <s v="Eat out"/>
    <n v="8"/>
    <x v="300"/>
    <n v="2023"/>
    <n v="1265.6699999999998"/>
    <n v="1257.6699999999998"/>
    <n v="4515"/>
    <n v="301"/>
  </r>
  <r>
    <s v="Eat out"/>
    <n v="20"/>
    <x v="301"/>
    <n v="2023"/>
    <n v="1272.6699999999998"/>
    <n v="1252.6699999999998"/>
    <n v="4530"/>
    <n v="302"/>
  </r>
  <r>
    <s v="Eat out"/>
    <n v="6.5"/>
    <x v="302"/>
    <n v="2023"/>
    <n v="1267.6699999999998"/>
    <n v="1261.1699999999998"/>
    <n v="4545"/>
    <n v="303"/>
  </r>
  <r>
    <s v="Grocery"/>
    <n v="68.709999999999994"/>
    <x v="303"/>
    <n v="2023"/>
    <n v="1276.1699999999998"/>
    <n v="1207.4599999999998"/>
    <n v="4560"/>
    <n v="304"/>
  </r>
  <r>
    <s v="Eat out"/>
    <n v="23"/>
    <x v="304"/>
    <n v="2023"/>
    <n v="1222.4599999999998"/>
    <n v="1199.4599999999998"/>
    <n v="4575"/>
    <n v="305"/>
  </r>
  <r>
    <s v="None"/>
    <n v="0"/>
    <x v="305"/>
    <n v="2023"/>
    <n v="1214.4599999999998"/>
    <n v="1214.4599999999998"/>
    <n v="4590"/>
    <n v="306"/>
  </r>
  <r>
    <s v="None"/>
    <n v="0"/>
    <x v="306"/>
    <n v="2023"/>
    <n v="1229.4599999999998"/>
    <n v="1229.4599999999998"/>
    <n v="4605"/>
    <n v="307"/>
  </r>
  <r>
    <s v="None"/>
    <n v="0"/>
    <x v="307"/>
    <n v="2023"/>
    <n v="1244.4599999999998"/>
    <n v="1244.4599999999998"/>
    <n v="4620"/>
    <n v="308"/>
  </r>
  <r>
    <s v="None"/>
    <n v="0"/>
    <x v="308"/>
    <n v="2023"/>
    <n v="1259.4599999999998"/>
    <n v="1259.4599999999998"/>
    <n v="4635"/>
    <n v="309"/>
  </r>
  <r>
    <s v="None"/>
    <n v="0"/>
    <x v="309"/>
    <n v="2023"/>
    <n v="1274.4599999999998"/>
    <n v="1274.4599999999998"/>
    <n v="4650"/>
    <n v="310"/>
  </r>
  <r>
    <s v="None"/>
    <n v="0"/>
    <x v="310"/>
    <n v="2023"/>
    <n v="1289.4599999999998"/>
    <n v="1289.4599999999998"/>
    <n v="4665"/>
    <n v="311"/>
  </r>
  <r>
    <s v="None"/>
    <n v="0"/>
    <x v="311"/>
    <n v="2023"/>
    <n v="1304.4599999999998"/>
    <n v="1304.4599999999998"/>
    <n v="4680"/>
    <n v="312"/>
  </r>
  <r>
    <s v="None"/>
    <n v="0"/>
    <x v="312"/>
    <n v="2023"/>
    <n v="1319.4599999999998"/>
    <n v="1319.4599999999998"/>
    <n v="4695"/>
    <n v="313"/>
  </r>
  <r>
    <s v="None"/>
    <n v="0"/>
    <x v="313"/>
    <n v="2023"/>
    <n v="1334.4599999999998"/>
    <n v="1334.4599999999998"/>
    <n v="4710"/>
    <n v="314"/>
  </r>
  <r>
    <s v="None"/>
    <n v="0"/>
    <x v="314"/>
    <n v="2023"/>
    <n v="1349.4599999999998"/>
    <n v="1349.4599999999998"/>
    <n v="4725"/>
    <n v="315"/>
  </r>
  <r>
    <s v="None"/>
    <n v="0"/>
    <x v="315"/>
    <n v="2023"/>
    <n v="1364.4599999999998"/>
    <n v="1364.4599999999998"/>
    <n v="4740"/>
    <n v="316"/>
  </r>
  <r>
    <s v="None"/>
    <n v="0"/>
    <x v="316"/>
    <n v="2023"/>
    <n v="1379.4599999999998"/>
    <n v="1379.4599999999998"/>
    <n v="4755"/>
    <n v="317"/>
  </r>
  <r>
    <s v="None"/>
    <n v="0"/>
    <x v="317"/>
    <n v="2023"/>
    <n v="1394.4599999999998"/>
    <n v="1394.4599999999998"/>
    <n v="4770"/>
    <n v="318"/>
  </r>
  <r>
    <s v="None"/>
    <n v="0"/>
    <x v="318"/>
    <n v="2023"/>
    <n v="1409.4599999999998"/>
    <n v="1409.4599999999998"/>
    <n v="4785"/>
    <n v="319"/>
  </r>
  <r>
    <s v="None"/>
    <n v="0"/>
    <x v="319"/>
    <n v="2023"/>
    <n v="1424.4599999999998"/>
    <n v="1424.4599999999998"/>
    <n v="4800"/>
    <n v="320"/>
  </r>
  <r>
    <s v="None"/>
    <n v="0"/>
    <x v="320"/>
    <n v="2023"/>
    <n v="1439.4599999999998"/>
    <n v="1439.4599999999998"/>
    <n v="4815"/>
    <n v="321"/>
  </r>
  <r>
    <s v="Eat out"/>
    <n v="375"/>
    <x v="321"/>
    <n v="2023"/>
    <n v="1454.4599999999998"/>
    <n v="1079.4599999999998"/>
    <n v="4830"/>
    <n v="322"/>
  </r>
  <r>
    <s v="None"/>
    <n v="0"/>
    <x v="322"/>
    <n v="2024"/>
    <n v="1094.4599999999998"/>
    <n v="1094.4599999999998"/>
    <n v="4845"/>
    <n v="323"/>
  </r>
  <r>
    <s v="None"/>
    <n v="0"/>
    <x v="323"/>
    <n v="2024"/>
    <n v="1109.4599999999998"/>
    <n v="1109.4599999999998"/>
    <n v="4860"/>
    <n v="324"/>
  </r>
  <r>
    <s v="None"/>
    <n v="0"/>
    <x v="324"/>
    <n v="2024"/>
    <n v="1124.4599999999998"/>
    <n v="1124.4599999999998"/>
    <n v="4875"/>
    <n v="325"/>
  </r>
  <r>
    <s v="None"/>
    <n v="0"/>
    <x v="325"/>
    <n v="2024"/>
    <n v="1139.4599999999998"/>
    <n v="1139.4599999999998"/>
    <n v="4890"/>
    <n v="326"/>
  </r>
  <r>
    <s v="None"/>
    <n v="0"/>
    <x v="326"/>
    <n v="2024"/>
    <n v="1154.4599999999998"/>
    <n v="1154.4599999999998"/>
    <n v="4905"/>
    <n v="327"/>
  </r>
  <r>
    <s v="None"/>
    <n v="0"/>
    <x v="327"/>
    <n v="2024"/>
    <n v="1169.4599999999998"/>
    <n v="1169.4599999999998"/>
    <n v="4920"/>
    <n v="328"/>
  </r>
  <r>
    <s v="None"/>
    <n v="0"/>
    <x v="328"/>
    <n v="2024"/>
    <n v="1184.4599999999998"/>
    <n v="1184.4599999999998"/>
    <n v="4935"/>
    <n v="329"/>
  </r>
  <r>
    <s v="None"/>
    <n v="0"/>
    <x v="329"/>
    <n v="2024"/>
    <n v="1199.4599999999998"/>
    <n v="1199.4599999999998"/>
    <n v="4950"/>
    <n v="330"/>
  </r>
  <r>
    <s v="None"/>
    <n v="0"/>
    <x v="330"/>
    <n v="2024"/>
    <n v="1214.4599999999998"/>
    <n v="1214.4599999999998"/>
    <n v="4965"/>
    <n v="331"/>
  </r>
  <r>
    <s v="None"/>
    <n v="0"/>
    <x v="331"/>
    <n v="2024"/>
    <n v="1229.4599999999998"/>
    <n v="1229.4599999999998"/>
    <n v="4980"/>
    <n v="332"/>
  </r>
  <r>
    <s v="None"/>
    <n v="0"/>
    <x v="332"/>
    <n v="2024"/>
    <n v="1244.4599999999998"/>
    <n v="1244.4599999999998"/>
    <n v="4995"/>
    <n v="333"/>
  </r>
  <r>
    <s v="Eat out"/>
    <n v="35"/>
    <x v="333"/>
    <n v="2024"/>
    <n v="1259.4599999999998"/>
    <n v="1224.4599999999998"/>
    <n v="5010"/>
    <n v="334"/>
  </r>
  <r>
    <s v="None"/>
    <n v="0"/>
    <x v="334"/>
    <n v="2024"/>
    <n v="1239.4599999999998"/>
    <n v="1239.4599999999998"/>
    <n v="5025"/>
    <n v="335"/>
  </r>
  <r>
    <s v="None"/>
    <n v="0"/>
    <x v="335"/>
    <n v="2024"/>
    <n v="1254.4599999999998"/>
    <n v="1254.4599999999998"/>
    <n v="5040"/>
    <n v="336"/>
  </r>
  <r>
    <s v="Eat out"/>
    <n v="25"/>
    <x v="336"/>
    <n v="2024"/>
    <n v="1269.4599999999998"/>
    <n v="1244.4599999999998"/>
    <n v="5055"/>
    <n v="337"/>
  </r>
  <r>
    <s v="None"/>
    <n v="0"/>
    <x v="337"/>
    <n v="2024"/>
    <n v="1259.4599999999998"/>
    <n v="1259.4599999999998"/>
    <n v="5070"/>
    <n v="338"/>
  </r>
  <r>
    <s v="None"/>
    <n v="0"/>
    <x v="338"/>
    <n v="2024"/>
    <n v="1274.4599999999998"/>
    <n v="1274.4599999999998"/>
    <n v="5085"/>
    <n v="339"/>
  </r>
  <r>
    <s v="Eat out"/>
    <n v="16"/>
    <x v="339"/>
    <n v="2024"/>
    <n v="1289.4599999999998"/>
    <n v="1273.4599999999998"/>
    <n v="5100"/>
    <n v="340"/>
  </r>
  <r>
    <s v="None"/>
    <n v="0"/>
    <x v="340"/>
    <n v="2024"/>
    <n v="1288.4599999999998"/>
    <n v="1288.4599999999998"/>
    <n v="5115"/>
    <n v="341"/>
  </r>
  <r>
    <s v="Eat out"/>
    <n v="14"/>
    <x v="341"/>
    <n v="2024"/>
    <n v="1303.4599999999998"/>
    <n v="1289.4599999999998"/>
    <n v="5130"/>
    <n v="342"/>
  </r>
  <r>
    <s v="None"/>
    <n v="0"/>
    <x v="342"/>
    <n v="2024"/>
    <n v="1304.4599999999998"/>
    <n v="1304.4599999999998"/>
    <n v="5145"/>
    <n v="343"/>
  </r>
  <r>
    <s v="None"/>
    <n v="0"/>
    <x v="343"/>
    <n v="2024"/>
    <n v="1319.4599999999998"/>
    <n v="1319.4599999999998"/>
    <n v="5160"/>
    <n v="344"/>
  </r>
  <r>
    <s v="Eat out"/>
    <n v="12"/>
    <x v="344"/>
    <n v="2024"/>
    <n v="1334.4599999999998"/>
    <n v="1322.4599999999998"/>
    <n v="5175"/>
    <n v="345"/>
  </r>
  <r>
    <s v="None"/>
    <n v="0"/>
    <x v="345"/>
    <n v="2024"/>
    <n v="1337.4599999999998"/>
    <n v="1337.4599999999998"/>
    <n v="5190"/>
    <n v="346"/>
  </r>
  <r>
    <s v="None"/>
    <n v="0"/>
    <x v="346"/>
    <n v="2024"/>
    <n v="1352.4599999999998"/>
    <n v="1352.4599999999998"/>
    <n v="5205"/>
    <n v="347"/>
  </r>
  <r>
    <s v="None"/>
    <n v="0"/>
    <x v="347"/>
    <n v="2024"/>
    <n v="1367.4599999999998"/>
    <n v="1367.4599999999998"/>
    <n v="5220"/>
    <n v="348"/>
  </r>
  <r>
    <s v="None"/>
    <n v="0"/>
    <x v="348"/>
    <n v="2024"/>
    <n v="1382.4599999999998"/>
    <n v="1382.4599999999998"/>
    <n v="5235"/>
    <n v="349"/>
  </r>
  <r>
    <s v="None"/>
    <n v="0"/>
    <x v="349"/>
    <n v="2024"/>
    <n v="1397.4599999999998"/>
    <n v="1397.4599999999998"/>
    <n v="5250"/>
    <n v="350"/>
  </r>
  <r>
    <s v="None"/>
    <n v="0"/>
    <x v="350"/>
    <n v="2024"/>
    <n v="1412.4599999999998"/>
    <n v="1412.4599999999998"/>
    <n v="5265"/>
    <n v="351"/>
  </r>
  <r>
    <s v="None"/>
    <n v="0"/>
    <x v="351"/>
    <n v="2024"/>
    <n v="1427.4599999999998"/>
    <n v="1427.4599999999998"/>
    <n v="5280"/>
    <n v="352"/>
  </r>
  <r>
    <s v="Eat out"/>
    <n v="648"/>
    <x v="352"/>
    <n v="2024"/>
    <n v="1442.4599999999998"/>
    <n v="794.45999999999981"/>
    <n v="5295"/>
    <n v="353"/>
  </r>
  <r>
    <s v="Eat out"/>
    <n v="31"/>
    <x v="353"/>
    <n v="2024"/>
    <n v="809.45999999999981"/>
    <n v="778.45999999999981"/>
    <n v="5310"/>
    <n v="354"/>
  </r>
  <r>
    <s v="Eat out"/>
    <n v="48.5"/>
    <x v="354"/>
    <n v="2024"/>
    <n v="793.45999999999981"/>
    <n v="744.95999999999981"/>
    <n v="5325"/>
    <n v="355"/>
  </r>
  <r>
    <s v="None"/>
    <n v="0"/>
    <x v="355"/>
    <n v="2024"/>
    <n v="759.95999999999981"/>
    <n v="759.95999999999981"/>
    <n v="5340"/>
    <n v="356"/>
  </r>
  <r>
    <s v="Eat out"/>
    <n v="40"/>
    <x v="356"/>
    <n v="2024"/>
    <n v="774.95999999999981"/>
    <n v="734.95999999999981"/>
    <n v="5355"/>
    <n v="357"/>
  </r>
  <r>
    <s v="Eat out"/>
    <n v="4.45"/>
    <x v="357"/>
    <n v="2024"/>
    <n v="749.95999999999981"/>
    <n v="745.50999999999976"/>
    <n v="5370"/>
    <n v="358"/>
  </r>
  <r>
    <s v="None"/>
    <n v="0"/>
    <x v="358"/>
    <n v="2024"/>
    <n v="760.50999999999976"/>
    <n v="760.50999999999976"/>
    <n v="5385"/>
    <n v="359"/>
  </r>
  <r>
    <s v="Eat out"/>
    <n v="9.5"/>
    <x v="359"/>
    <n v="2024"/>
    <n v="775.50999999999976"/>
    <n v="766.00999999999976"/>
    <n v="5400"/>
    <n v="360"/>
  </r>
  <r>
    <s v="Eat out"/>
    <n v="100"/>
    <x v="360"/>
    <n v="2024"/>
    <n v="781.00999999999976"/>
    <n v="681.00999999999976"/>
    <n v="5415"/>
    <n v="361"/>
  </r>
  <r>
    <s v="Eat out"/>
    <n v="7"/>
    <x v="361"/>
    <n v="2024"/>
    <n v="696.00999999999976"/>
    <n v="689.00999999999976"/>
    <n v="5430"/>
    <n v="362"/>
  </r>
  <r>
    <s v="Eat out"/>
    <n v="9.5"/>
    <x v="362"/>
    <n v="2024"/>
    <n v="704.00999999999976"/>
    <n v="694.50999999999976"/>
    <n v="5445"/>
    <n v="363"/>
  </r>
  <r>
    <s v="Eat out"/>
    <n v="3.5"/>
    <x v="363"/>
    <n v="2024"/>
    <n v="709.50999999999976"/>
    <n v="706.00999999999976"/>
    <n v="5460"/>
    <n v="364"/>
  </r>
  <r>
    <s v="Eat out"/>
    <n v="6"/>
    <x v="364"/>
    <n v="2024"/>
    <n v="721.00999999999976"/>
    <n v="715.00999999999976"/>
    <n v="5475"/>
    <n v="365"/>
  </r>
  <r>
    <s v="Eat out"/>
    <n v="5.05"/>
    <x v="365"/>
    <n v="2024"/>
    <n v="730.00999999999976"/>
    <n v="724.95999999999981"/>
    <n v="5490"/>
    <n v="366"/>
  </r>
  <r>
    <s v="Eat out"/>
    <n v="45"/>
    <x v="366"/>
    <n v="2024"/>
    <n v="739.95999999999981"/>
    <n v="694.95999999999981"/>
    <n v="5505"/>
    <n v="367"/>
  </r>
  <r>
    <s v="Eat out"/>
    <n v="30"/>
    <x v="367"/>
    <n v="2024"/>
    <n v="709.95999999999981"/>
    <n v="679.95999999999981"/>
    <n v="5520"/>
    <n v="368"/>
  </r>
  <r>
    <s v="Eat out"/>
    <n v="27.5"/>
    <x v="368"/>
    <n v="2024"/>
    <n v="694.95999999999981"/>
    <n v="667.45999999999981"/>
    <n v="5535"/>
    <n v="369"/>
  </r>
  <r>
    <s v="Eat out"/>
    <n v="25"/>
    <x v="369"/>
    <n v="2024"/>
    <n v="682.45999999999981"/>
    <n v="657.45999999999981"/>
    <n v="5550"/>
    <n v="370"/>
  </r>
  <r>
    <s v="Eat out"/>
    <n v="12.5"/>
    <x v="370"/>
    <n v="2024"/>
    <n v="672.45999999999981"/>
    <n v="659.95999999999981"/>
    <n v="5565"/>
    <n v="371"/>
  </r>
  <r>
    <s v="Eat out"/>
    <n v="9.5"/>
    <x v="371"/>
    <n v="2024"/>
    <n v="674.95999999999981"/>
    <n v="665.45999999999981"/>
    <n v="5580"/>
    <n v="372"/>
  </r>
  <r>
    <s v="Eat out"/>
    <n v="75"/>
    <x v="372"/>
    <n v="2024"/>
    <n v="680.45999999999981"/>
    <n v="605.45999999999981"/>
    <n v="5595"/>
    <n v="373"/>
  </r>
  <r>
    <s v="Eat out"/>
    <n v="6.55"/>
    <x v="373"/>
    <n v="2024"/>
    <n v="620.45999999999981"/>
    <n v="613.90999999999985"/>
    <n v="5610"/>
    <n v="374"/>
  </r>
  <r>
    <s v="Eat out"/>
    <n v="30"/>
    <x v="374"/>
    <n v="2024"/>
    <n v="628.90999999999985"/>
    <n v="598.90999999999985"/>
    <n v="5625"/>
    <n v="375"/>
  </r>
  <r>
    <s v="Eat out"/>
    <n v="16.7"/>
    <x v="375"/>
    <n v="2024"/>
    <n v="613.90999999999985"/>
    <n v="597.20999999999981"/>
    <n v="5640"/>
    <n v="376"/>
  </r>
  <r>
    <s v="Eat out"/>
    <n v="17"/>
    <x v="376"/>
    <n v="2024"/>
    <n v="612.20999999999981"/>
    <n v="595.20999999999981"/>
    <n v="5655"/>
    <n v="377"/>
  </r>
  <r>
    <s v="Eat out"/>
    <n v="12"/>
    <x v="377"/>
    <n v="2024"/>
    <n v="610.20999999999981"/>
    <n v="598.20999999999981"/>
    <n v="5670"/>
    <n v="378"/>
  </r>
  <r>
    <s v="Eat out"/>
    <n v="17"/>
    <x v="378"/>
    <n v="2024"/>
    <n v="613.20999999999981"/>
    <n v="596.20999999999981"/>
    <n v="5685"/>
    <n v="379"/>
  </r>
  <r>
    <s v="Eat out"/>
    <n v="9.5"/>
    <x v="379"/>
    <n v="2024"/>
    <n v="611.20999999999981"/>
    <n v="601.70999999999981"/>
    <n v="5700"/>
    <n v="380"/>
  </r>
  <r>
    <s v="Eat out"/>
    <n v="50"/>
    <x v="380"/>
    <n v="2024"/>
    <n v="616.70999999999981"/>
    <n v="566.70999999999981"/>
    <n v="5715"/>
    <n v="381"/>
  </r>
  <r>
    <s v="Eat out"/>
    <n v="10"/>
    <x v="381"/>
    <n v="2024"/>
    <n v="581.70999999999981"/>
    <n v="571.70999999999981"/>
    <n v="5730"/>
    <n v="382"/>
  </r>
  <r>
    <s v="Eat out"/>
    <n v="11"/>
    <x v="382"/>
    <n v="2024"/>
    <n v="586.70999999999981"/>
    <n v="575.70999999999981"/>
    <n v="5745"/>
    <n v="383"/>
  </r>
  <r>
    <s v="Eat out"/>
    <n v="19"/>
    <x v="383"/>
    <n v="2024"/>
    <n v="590.70999999999981"/>
    <n v="571.70999999999981"/>
    <n v="5760"/>
    <n v="384"/>
  </r>
  <r>
    <s v="Eat out"/>
    <n v="18"/>
    <x v="384"/>
    <n v="2024"/>
    <n v="586.70999999999981"/>
    <n v="568.70999999999981"/>
    <n v="5775"/>
    <n v="385"/>
  </r>
  <r>
    <s v="Eat out"/>
    <n v="9"/>
    <x v="385"/>
    <n v="2024"/>
    <n v="583.70999999999981"/>
    <n v="574.70999999999981"/>
    <n v="5790"/>
    <n v="386"/>
  </r>
  <r>
    <s v="Eat out"/>
    <n v="26"/>
    <x v="386"/>
    <n v="2024"/>
    <n v="589.70999999999981"/>
    <n v="563.70999999999981"/>
    <n v="5805"/>
    <n v="387"/>
  </r>
  <r>
    <s v="None"/>
    <n v="0"/>
    <x v="387"/>
    <n v="2024"/>
    <n v="578.70999999999981"/>
    <n v="578.70999999999981"/>
    <n v="5820"/>
    <n v="388"/>
  </r>
  <r>
    <s v="Eat out"/>
    <n v="9.5"/>
    <x v="388"/>
    <n v="2024"/>
    <n v="593.70999999999981"/>
    <n v="584.20999999999981"/>
    <n v="5835"/>
    <n v="389"/>
  </r>
  <r>
    <s v="Eat out"/>
    <n v="14.5"/>
    <x v="389"/>
    <n v="2024"/>
    <n v="599.20999999999981"/>
    <n v="584.70999999999981"/>
    <n v="5850"/>
    <n v="390"/>
  </r>
  <r>
    <s v="Eat out"/>
    <n v="5"/>
    <x v="390"/>
    <n v="2024"/>
    <n v="599.70999999999981"/>
    <n v="594.70999999999981"/>
    <n v="5865"/>
    <n v="391"/>
  </r>
  <r>
    <s v="Eat out"/>
    <n v="8.5"/>
    <x v="391"/>
    <n v="2024"/>
    <n v="609.70999999999981"/>
    <n v="601.20999999999981"/>
    <n v="5880"/>
    <n v="392"/>
  </r>
  <r>
    <s v="None"/>
    <n v="0"/>
    <x v="392"/>
    <n v="2024"/>
    <n v="616.20999999999981"/>
    <n v="616.20999999999981"/>
    <n v="5895"/>
    <n v="393"/>
  </r>
  <r>
    <s v="Eat out"/>
    <n v="8"/>
    <x v="393"/>
    <n v="2024"/>
    <n v="631.20999999999981"/>
    <n v="623.20999999999981"/>
    <n v="5910"/>
    <n v="394"/>
  </r>
  <r>
    <s v="Eat out"/>
    <n v="45"/>
    <x v="394"/>
    <n v="2024"/>
    <n v="638.20999999999981"/>
    <n v="593.20999999999981"/>
    <n v="5925"/>
    <n v="395"/>
  </r>
  <r>
    <s v="Eat out"/>
    <n v="15"/>
    <x v="395"/>
    <n v="2024"/>
    <n v="608.20999999999981"/>
    <n v="593.20999999999981"/>
    <n v="5940"/>
    <n v="396"/>
  </r>
  <r>
    <s v="Eat out"/>
    <n v="8.6999999999999993"/>
    <x v="396"/>
    <n v="2024"/>
    <n v="608.20999999999981"/>
    <n v="599.50999999999976"/>
    <n v="5955"/>
    <n v="397"/>
  </r>
  <r>
    <s v="Eat out"/>
    <n v="7.75"/>
    <x v="397"/>
    <n v="2024"/>
    <n v="614.50999999999976"/>
    <n v="606.75999999999976"/>
    <n v="5970"/>
    <n v="398"/>
  </r>
  <r>
    <s v="Eat out"/>
    <n v="7.7"/>
    <x v="398"/>
    <n v="2024"/>
    <n v="621.75999999999976"/>
    <n v="614.05999999999972"/>
    <n v="5985"/>
    <n v="399"/>
  </r>
  <r>
    <s v="Eat out"/>
    <n v="37"/>
    <x v="399"/>
    <n v="2024"/>
    <n v="629.05999999999972"/>
    <n v="592.05999999999972"/>
    <n v="6000"/>
    <n v="400"/>
  </r>
  <r>
    <s v="Eat out"/>
    <n v="58"/>
    <x v="400"/>
    <n v="2024"/>
    <n v="607.05999999999972"/>
    <n v="549.05999999999972"/>
    <n v="6015"/>
    <n v="401"/>
  </r>
  <r>
    <s v="Eat out"/>
    <n v="4.45"/>
    <x v="401"/>
    <n v="2024"/>
    <n v="564.05999999999972"/>
    <n v="559.60999999999967"/>
    <n v="6030"/>
    <n v="402"/>
  </r>
  <r>
    <s v="Eat out"/>
    <n v="11"/>
    <x v="402"/>
    <n v="2024"/>
    <n v="574.60999999999967"/>
    <n v="563.60999999999967"/>
    <n v="6045"/>
    <n v="403"/>
  </r>
  <r>
    <s v="Eat out"/>
    <n v="15.3"/>
    <x v="403"/>
    <n v="2024"/>
    <n v="578.60999999999967"/>
    <n v="563.30999999999972"/>
    <n v="6060"/>
    <n v="404"/>
  </r>
  <r>
    <s v="Eat out"/>
    <n v="39"/>
    <x v="404"/>
    <n v="2024"/>
    <n v="578.30999999999972"/>
    <n v="539.30999999999972"/>
    <n v="6075"/>
    <n v="405"/>
  </r>
  <r>
    <s v="None"/>
    <n v="0"/>
    <x v="405"/>
    <n v="2024"/>
    <n v="554.30999999999972"/>
    <n v="554.30999999999972"/>
    <n v="6090"/>
    <n v="406"/>
  </r>
  <r>
    <s v="Eat out"/>
    <n v="47"/>
    <x v="406"/>
    <n v="2024"/>
    <n v="569.30999999999972"/>
    <n v="522.30999999999972"/>
    <n v="6105"/>
    <n v="407"/>
  </r>
  <r>
    <s v="None"/>
    <n v="0"/>
    <x v="407"/>
    <n v="2024"/>
    <n v="537.30999999999972"/>
    <n v="537.30999999999972"/>
    <n v="6120"/>
    <n v="408"/>
  </r>
  <r>
    <s v="Eat out"/>
    <n v="4.45"/>
    <x v="408"/>
    <n v="2024"/>
    <n v="552.30999999999972"/>
    <n v="547.85999999999967"/>
    <n v="6135"/>
    <n v="409"/>
  </r>
  <r>
    <s v="Eat out"/>
    <n v="25"/>
    <x v="409"/>
    <n v="2024"/>
    <n v="562.85999999999967"/>
    <n v="537.85999999999967"/>
    <n v="6150"/>
    <n v="410"/>
  </r>
  <r>
    <s v="Eat out"/>
    <n v="24"/>
    <x v="410"/>
    <n v="2024"/>
    <n v="552.85999999999967"/>
    <n v="528.85999999999967"/>
    <n v="6165"/>
    <n v="411"/>
  </r>
  <r>
    <s v="Eat out"/>
    <n v="9.3000000000000007"/>
    <x v="411"/>
    <n v="2024"/>
    <n v="543.85999999999967"/>
    <n v="534.55999999999972"/>
    <n v="6180"/>
    <n v="412"/>
  </r>
  <r>
    <s v="Eat out"/>
    <n v="24.5"/>
    <x v="412"/>
    <n v="2024"/>
    <n v="549.55999999999972"/>
    <n v="525.05999999999972"/>
    <n v="6195"/>
    <n v="413"/>
  </r>
  <r>
    <s v="Eat out"/>
    <n v="10"/>
    <x v="413"/>
    <n v="2024"/>
    <n v="540.05999999999972"/>
    <n v="530.05999999999972"/>
    <n v="6210"/>
    <n v="414"/>
  </r>
  <r>
    <s v="Eat out"/>
    <n v="4.45"/>
    <x v="414"/>
    <n v="2024"/>
    <n v="545.05999999999972"/>
    <n v="540.60999999999967"/>
    <n v="6225"/>
    <n v="415"/>
  </r>
  <r>
    <s v="Eat out"/>
    <n v="32"/>
    <x v="415"/>
    <n v="2024"/>
    <n v="555.60999999999967"/>
    <n v="523.60999999999967"/>
    <n v="6240"/>
    <n v="416"/>
  </r>
  <r>
    <s v="Eat out"/>
    <n v="1"/>
    <x v="416"/>
    <n v="2024"/>
    <n v="538.60999999999967"/>
    <n v="537.60999999999967"/>
    <n v="6255"/>
    <n v="417"/>
  </r>
  <r>
    <s v="Eat out"/>
    <n v="73.75"/>
    <x v="417"/>
    <n v="2024"/>
    <n v="552.60999999999967"/>
    <n v="478.85999999999967"/>
    <n v="6270"/>
    <n v="418"/>
  </r>
  <r>
    <s v="Eat out"/>
    <n v="48"/>
    <x v="418"/>
    <n v="2024"/>
    <n v="493.85999999999967"/>
    <n v="445.85999999999967"/>
    <n v="6285"/>
    <n v="419"/>
  </r>
  <r>
    <s v="Eat out"/>
    <n v="20"/>
    <x v="419"/>
    <n v="2024"/>
    <n v="460.85999999999967"/>
    <n v="440.85999999999967"/>
    <n v="6300"/>
    <n v="420"/>
  </r>
  <r>
    <s v="Eat out"/>
    <n v="1.5"/>
    <x v="420"/>
    <n v="2024"/>
    <n v="455.85999999999967"/>
    <n v="454.35999999999967"/>
    <n v="6315"/>
    <n v="421"/>
  </r>
  <r>
    <s v="Eat out"/>
    <n v="15.3"/>
    <x v="421"/>
    <n v="2024"/>
    <n v="469.35999999999967"/>
    <n v="454.05999999999966"/>
    <n v="6330"/>
    <n v="422"/>
  </r>
  <r>
    <s v="Eat out"/>
    <n v="24.5"/>
    <x v="422"/>
    <n v="2024"/>
    <n v="469.05999999999966"/>
    <n v="444.55999999999966"/>
    <n v="6345"/>
    <n v="423"/>
  </r>
  <r>
    <s v="Eat out"/>
    <n v="27"/>
    <x v="423"/>
    <n v="2024"/>
    <n v="459.55999999999966"/>
    <n v="432.55999999999966"/>
    <n v="6360"/>
    <n v="424"/>
  </r>
  <r>
    <s v="Eat out"/>
    <n v="29"/>
    <x v="424"/>
    <n v="2024"/>
    <n v="447.55999999999966"/>
    <n v="418.55999999999966"/>
    <n v="6375"/>
    <n v="425"/>
  </r>
  <r>
    <s v="Eat out"/>
    <n v="23.5"/>
    <x v="425"/>
    <n v="2024"/>
    <n v="433.55999999999966"/>
    <n v="410.05999999999966"/>
    <n v="6390"/>
    <n v="426"/>
  </r>
  <r>
    <s v="Eat out"/>
    <n v="72"/>
    <x v="426"/>
    <n v="2024"/>
    <n v="425.05999999999966"/>
    <n v="353.05999999999966"/>
    <n v="6405"/>
    <n v="427"/>
  </r>
  <r>
    <s v="Eat out"/>
    <n v="20"/>
    <x v="427"/>
    <n v="2024"/>
    <n v="368.05999999999966"/>
    <n v="348.05999999999966"/>
    <n v="6420"/>
    <n v="428"/>
  </r>
  <r>
    <s v="Eat out"/>
    <n v="28.5"/>
    <x v="428"/>
    <n v="2024"/>
    <n v="363.05999999999966"/>
    <n v="334.55999999999966"/>
    <n v="6435"/>
    <n v="429"/>
  </r>
  <r>
    <s v="Eat out"/>
    <n v="6.5"/>
    <x v="429"/>
    <n v="2024"/>
    <n v="349.55999999999966"/>
    <n v="343.05999999999966"/>
    <n v="6450"/>
    <n v="430"/>
  </r>
  <r>
    <s v="Eat out"/>
    <n v="17"/>
    <x v="430"/>
    <n v="2024"/>
    <n v="358.05999999999966"/>
    <n v="341.05999999999966"/>
    <n v="6465"/>
    <n v="431"/>
  </r>
  <r>
    <s v="Eat out"/>
    <n v="5.5"/>
    <x v="431"/>
    <n v="2024"/>
    <n v="356.05999999999966"/>
    <n v="350.55999999999966"/>
    <n v="6480"/>
    <n v="432"/>
  </r>
  <r>
    <s v="Eat out"/>
    <n v="0"/>
    <x v="432"/>
    <n v="2024"/>
    <n v="365.55999999999966"/>
    <n v="365.55999999999966"/>
    <n v="6495"/>
    <n v="433"/>
  </r>
  <r>
    <s v="Eat out"/>
    <n v="0"/>
    <x v="433"/>
    <n v="2024"/>
    <n v="380.55999999999966"/>
    <n v="380.55999999999966"/>
    <n v="6510"/>
    <n v="434"/>
  </r>
  <r>
    <s v="Eat out"/>
    <n v="50"/>
    <x v="434"/>
    <n v="2024"/>
    <n v="395.55999999999966"/>
    <n v="345.55999999999966"/>
    <n v="6525"/>
    <n v="435"/>
  </r>
  <r>
    <s v="Eat out"/>
    <n v="7.5"/>
    <x v="435"/>
    <n v="2024"/>
    <n v="360.55999999999966"/>
    <n v="353.05999999999966"/>
    <n v="6540"/>
    <n v="436"/>
  </r>
  <r>
    <s v="Eat out"/>
    <n v="21"/>
    <x v="436"/>
    <n v="2024"/>
    <n v="368.05999999999966"/>
    <n v="347.05999999999966"/>
    <n v="6555"/>
    <n v="437"/>
  </r>
  <r>
    <s v="Eat out"/>
    <n v="4.5"/>
    <x v="437"/>
    <n v="2024"/>
    <n v="362.05999999999966"/>
    <n v="357.55999999999966"/>
    <n v="6570"/>
    <n v="438"/>
  </r>
  <r>
    <s v="Eat out"/>
    <n v="7"/>
    <x v="438"/>
    <n v="2024"/>
    <n v="372.55999999999966"/>
    <n v="365.55999999999966"/>
    <n v="6585"/>
    <n v="439"/>
  </r>
  <r>
    <s v="Eat out"/>
    <n v="60"/>
    <x v="439"/>
    <n v="2024"/>
    <n v="380.55999999999966"/>
    <n v="320.55999999999966"/>
    <n v="6600"/>
    <n v="440"/>
  </r>
  <r>
    <s v="Eat out"/>
    <n v="0"/>
    <x v="440"/>
    <n v="2024"/>
    <n v="335.55999999999966"/>
    <n v="335.55999999999966"/>
    <n v="6615"/>
    <n v="441"/>
  </r>
  <r>
    <s v="Eat out"/>
    <n v="14"/>
    <x v="441"/>
    <n v="2024"/>
    <n v="350.55999999999966"/>
    <n v="336.55999999999966"/>
    <n v="6630"/>
    <n v="442"/>
  </r>
  <r>
    <s v="Eat out"/>
    <n v="10"/>
    <x v="442"/>
    <n v="2024"/>
    <n v="351.55999999999966"/>
    <n v="341.55999999999966"/>
    <n v="6645"/>
    <n v="443"/>
  </r>
  <r>
    <s v="Eat out"/>
    <n v="50"/>
    <x v="443"/>
    <n v="2024"/>
    <n v="356.55999999999966"/>
    <n v="306.55999999999966"/>
    <n v="6660"/>
    <n v="444"/>
  </r>
  <r>
    <s v="Eat out"/>
    <n v="5"/>
    <x v="444"/>
    <n v="2024"/>
    <n v="321.55999999999966"/>
    <n v="316.55999999999966"/>
    <n v="6675"/>
    <n v="445"/>
  </r>
  <r>
    <s v="Eat out"/>
    <n v="11"/>
    <x v="445"/>
    <n v="2024"/>
    <n v="331.55999999999966"/>
    <n v="320.55999999999966"/>
    <n v="6690"/>
    <n v="446"/>
  </r>
  <r>
    <s v="Eat out"/>
    <n v="11"/>
    <x v="446"/>
    <n v="2024"/>
    <n v="335.55999999999966"/>
    <n v="324.55999999999966"/>
    <n v="6705"/>
    <n v="447"/>
  </r>
  <r>
    <s v="Eat out"/>
    <n v="47.65"/>
    <x v="447"/>
    <n v="2024"/>
    <n v="339.55999999999966"/>
    <n v="291.90999999999968"/>
    <n v="6720"/>
    <n v="448"/>
  </r>
  <r>
    <s v="Eat out"/>
    <n v="26"/>
    <x v="448"/>
    <n v="2024"/>
    <n v="306.90999999999968"/>
    <n v="280.90999999999968"/>
    <n v="6735"/>
    <n v="449"/>
  </r>
  <r>
    <s v="Eat out"/>
    <n v="100"/>
    <x v="449"/>
    <n v="2024"/>
    <n v="295.90999999999968"/>
    <n v="195.90999999999968"/>
    <n v="6750"/>
    <n v="450"/>
  </r>
  <r>
    <s v="Eat out"/>
    <n v="2.5"/>
    <x v="450"/>
    <n v="2024"/>
    <n v="210.90999999999968"/>
    <n v="208.40999999999968"/>
    <n v="6765"/>
    <n v="451"/>
  </r>
  <r>
    <s v="Eat out"/>
    <n v="16.5"/>
    <x v="451"/>
    <n v="2024"/>
    <n v="223.40999999999968"/>
    <n v="206.90999999999968"/>
    <n v="6780"/>
    <n v="452"/>
  </r>
  <r>
    <s v="Eat out"/>
    <n v="27"/>
    <x v="452"/>
    <n v="2024"/>
    <n v="221.90999999999968"/>
    <n v="194.90999999999968"/>
    <n v="6795"/>
    <n v="453"/>
  </r>
  <r>
    <s v="Eat out"/>
    <n v="2.7"/>
    <x v="453"/>
    <n v="2024"/>
    <n v="209.90999999999968"/>
    <n v="207.2099999999997"/>
    <n v="6810"/>
    <n v="454"/>
  </r>
  <r>
    <s v="Eat out"/>
    <n v="18.5"/>
    <x v="454"/>
    <n v="2024"/>
    <n v="222.2099999999997"/>
    <n v="203.7099999999997"/>
    <n v="6825"/>
    <n v="455"/>
  </r>
  <r>
    <s v="Eat out"/>
    <n v="19"/>
    <x v="455"/>
    <n v="2024"/>
    <n v="218.7099999999997"/>
    <n v="199.7099999999997"/>
    <n v="6840"/>
    <n v="456"/>
  </r>
  <r>
    <s v="Eat out"/>
    <n v="18"/>
    <x v="456"/>
    <n v="2024"/>
    <n v="214.7099999999997"/>
    <n v="196.7099999999997"/>
    <n v="6855"/>
    <n v="457"/>
  </r>
  <r>
    <s v="Eat out"/>
    <n v="36"/>
    <x v="457"/>
    <n v="2024"/>
    <n v="211.7099999999997"/>
    <n v="175.7099999999997"/>
    <n v="6870"/>
    <n v="458"/>
  </r>
  <r>
    <s v="Eat out"/>
    <n v="2.7"/>
    <x v="458"/>
    <n v="2024"/>
    <n v="190.7099999999997"/>
    <n v="188.00999999999971"/>
    <n v="6885"/>
    <n v="459"/>
  </r>
  <r>
    <s v="Eat out"/>
    <n v="27"/>
    <x v="459"/>
    <n v="2024"/>
    <n v="203.00999999999971"/>
    <n v="176.00999999999971"/>
    <n v="6900"/>
    <n v="460"/>
  </r>
  <r>
    <s v="Eat out"/>
    <n v="0"/>
    <x v="460"/>
    <n v="2024"/>
    <n v="191.00999999999971"/>
    <n v="191.00999999999971"/>
    <n v="6915"/>
    <n v="461"/>
  </r>
  <r>
    <s v="Eat out"/>
    <n v="45"/>
    <x v="461"/>
    <n v="2024"/>
    <n v="206.00999999999971"/>
    <n v="161.00999999999971"/>
    <n v="6930"/>
    <n v="462"/>
  </r>
  <r>
    <s v="Eat out"/>
    <n v="17.100000000000001"/>
    <x v="462"/>
    <n v="2024"/>
    <n v="176.00999999999971"/>
    <n v="158.90999999999971"/>
    <n v="6945"/>
    <n v="463"/>
  </r>
  <r>
    <s v="Eat out"/>
    <n v="31.25"/>
    <x v="463"/>
    <n v="2024"/>
    <n v="173.90999999999971"/>
    <n v="142.65999999999971"/>
    <n v="6960"/>
    <n v="464"/>
  </r>
  <r>
    <s v="Eat out"/>
    <n v="16"/>
    <x v="464"/>
    <n v="2024"/>
    <n v="157.65999999999971"/>
    <n v="141.65999999999971"/>
    <n v="6975"/>
    <n v="465"/>
  </r>
  <r>
    <s v="Eat out"/>
    <n v="4.7"/>
    <x v="465"/>
    <n v="2024"/>
    <n v="156.65999999999971"/>
    <n v="151.95999999999972"/>
    <n v="6990"/>
    <n v="466"/>
  </r>
  <r>
    <s v="Eat out"/>
    <n v="7.5"/>
    <x v="466"/>
    <n v="2024"/>
    <n v="166.95999999999972"/>
    <n v="159.45999999999972"/>
    <n v="7005"/>
    <n v="467"/>
  </r>
  <r>
    <s v="Eat out"/>
    <n v="34"/>
    <x v="467"/>
    <n v="2024"/>
    <n v="174.45999999999972"/>
    <n v="140.45999999999972"/>
    <n v="7020"/>
    <n v="468"/>
  </r>
  <r>
    <s v="Eat out"/>
    <n v="0"/>
    <x v="468"/>
    <n v="2024"/>
    <n v="155.45999999999972"/>
    <n v="155.45999999999972"/>
    <n v="7035"/>
    <n v="469"/>
  </r>
  <r>
    <s v="Eat out"/>
    <n v="27"/>
    <x v="469"/>
    <n v="2024"/>
    <n v="170.45999999999972"/>
    <n v="143.45999999999972"/>
    <n v="7050"/>
    <n v="470"/>
  </r>
  <r>
    <s v="Eat out"/>
    <n v="28"/>
    <x v="470"/>
    <n v="2024"/>
    <n v="158.45999999999972"/>
    <n v="130.45999999999972"/>
    <n v="7065"/>
    <n v="471"/>
  </r>
  <r>
    <s v="Eat out"/>
    <n v="5.5"/>
    <x v="471"/>
    <n v="2024"/>
    <n v="145.45999999999972"/>
    <n v="139.95999999999972"/>
    <n v="7080"/>
    <n v="472"/>
  </r>
  <r>
    <s v="Eat out"/>
    <n v="35"/>
    <x v="472"/>
    <n v="2024"/>
    <n v="154.95999999999972"/>
    <n v="119.95999999999972"/>
    <n v="7095"/>
    <n v="473"/>
  </r>
  <r>
    <s v="Eat out"/>
    <n v="8.5"/>
    <x v="473"/>
    <n v="2024"/>
    <n v="134.95999999999972"/>
    <n v="126.45999999999972"/>
    <n v="7110"/>
    <n v="474"/>
  </r>
  <r>
    <s v="Eat out"/>
    <n v="0"/>
    <x v="474"/>
    <n v="2024"/>
    <n v="141.45999999999972"/>
    <n v="141.45999999999972"/>
    <n v="7125"/>
    <n v="475"/>
  </r>
  <r>
    <s v="Eat out"/>
    <n v="16.100000000000001"/>
    <x v="475"/>
    <n v="2024"/>
    <n v="156.45999999999972"/>
    <n v="140.35999999999973"/>
    <n v="7140"/>
    <n v="476"/>
  </r>
  <r>
    <s v="Eat out"/>
    <n v="32"/>
    <x v="476"/>
    <n v="2024"/>
    <n v="155.35999999999973"/>
    <n v="123.35999999999973"/>
    <n v="7155"/>
    <n v="477"/>
  </r>
  <r>
    <s v="Eat out"/>
    <n v="34"/>
    <x v="477"/>
    <n v="2024"/>
    <n v="138.35999999999973"/>
    <n v="104.35999999999973"/>
    <n v="7170"/>
    <n v="478"/>
  </r>
  <r>
    <s v="Eat out"/>
    <n v="21"/>
    <x v="478"/>
    <n v="2024"/>
    <n v="119.35999999999973"/>
    <n v="98.359999999999729"/>
    <n v="7185"/>
    <n v="479"/>
  </r>
  <r>
    <s v="Eat out"/>
    <n v="17"/>
    <x v="479"/>
    <n v="2024"/>
    <n v="113.35999999999973"/>
    <n v="96.359999999999729"/>
    <n v="7200"/>
    <n v="480"/>
  </r>
  <r>
    <s v="Eat out"/>
    <n v="6"/>
    <x v="480"/>
    <n v="2024"/>
    <n v="111.35999999999973"/>
    <n v="105.35999999999973"/>
    <n v="7215"/>
    <n v="481"/>
  </r>
  <r>
    <s v="Eat out"/>
    <n v="12.5"/>
    <x v="481"/>
    <n v="2024"/>
    <n v="120.35999999999973"/>
    <n v="107.85999999999973"/>
    <n v="7230"/>
    <n v="482"/>
  </r>
  <r>
    <s v="Eat out"/>
    <n v="12.5"/>
    <x v="482"/>
    <n v="2024"/>
    <n v="122.85999999999973"/>
    <n v="110.35999999999973"/>
    <n v="7245"/>
    <n v="483"/>
  </r>
  <r>
    <s v="Eat out"/>
    <n v="28"/>
    <x v="483"/>
    <n v="2024"/>
    <n v="125.35999999999973"/>
    <n v="97.359999999999729"/>
    <n v="7260"/>
    <n v="484"/>
  </r>
  <r>
    <s v="Eat out"/>
    <n v="37"/>
    <x v="484"/>
    <n v="2024"/>
    <n v="112.35999999999973"/>
    <n v="75.359999999999729"/>
    <n v="7275"/>
    <n v="485"/>
  </r>
  <r>
    <s v="Eat out"/>
    <n v="11"/>
    <x v="485"/>
    <n v="2024"/>
    <n v="90.359999999999729"/>
    <n v="79.359999999999729"/>
    <n v="7290"/>
    <n v="486"/>
  </r>
  <r>
    <s v="Eat out"/>
    <n v="20"/>
    <x v="486"/>
    <n v="2024"/>
    <n v="94.359999999999729"/>
    <n v="74.359999999999729"/>
    <n v="7305"/>
    <n v="487"/>
  </r>
  <r>
    <s v="Eat out"/>
    <n v="9"/>
    <x v="487"/>
    <n v="2024"/>
    <n v="89.359999999999729"/>
    <n v="80.359999999999729"/>
    <n v="7320"/>
    <n v="488"/>
  </r>
  <r>
    <s v="Eat out"/>
    <n v="8.5"/>
    <x v="488"/>
    <n v="2024"/>
    <n v="95.359999999999729"/>
    <n v="86.859999999999729"/>
    <n v="7335"/>
    <n v="489"/>
  </r>
  <r>
    <s v="Eat out"/>
    <n v="22.5"/>
    <x v="489"/>
    <n v="2024"/>
    <n v="101.85999999999973"/>
    <n v="79.359999999999729"/>
    <n v="7350"/>
    <n v="490"/>
  </r>
  <r>
    <s v="Eat out"/>
    <n v="31.5"/>
    <x v="490"/>
    <n v="2024"/>
    <n v="94.359999999999729"/>
    <n v="62.859999999999729"/>
    <n v="7365"/>
    <n v="491"/>
  </r>
  <r>
    <s v="Eat out"/>
    <n v="14.9"/>
    <x v="491"/>
    <n v="2024"/>
    <n v="77.859999999999729"/>
    <n v="62.959999999999731"/>
    <n v="7380"/>
    <n v="492"/>
  </r>
  <r>
    <s v="Eat out"/>
    <n v="10"/>
    <x v="492"/>
    <n v="2024"/>
    <n v="77.959999999999724"/>
    <n v="67.959999999999724"/>
    <n v="7395"/>
    <n v="493"/>
  </r>
  <r>
    <s v="Eat out"/>
    <n v="14.5"/>
    <x v="493"/>
    <n v="2024"/>
    <n v="82.959999999999724"/>
    <n v="68.459999999999724"/>
    <n v="7410"/>
    <n v="494"/>
  </r>
  <r>
    <s v="Eat out"/>
    <n v="17"/>
    <x v="494"/>
    <n v="2024"/>
    <n v="83.459999999999724"/>
    <n v="66.459999999999724"/>
    <n v="7425"/>
    <n v="495"/>
  </r>
  <r>
    <s v="Eat out"/>
    <n v="7"/>
    <x v="495"/>
    <n v="2024"/>
    <n v="81.459999999999724"/>
    <n v="74.459999999999724"/>
    <n v="7440"/>
    <n v="496"/>
  </r>
  <r>
    <s v="Eat out"/>
    <n v="0"/>
    <x v="496"/>
    <n v="2024"/>
    <n v="89.459999999999724"/>
    <n v="89.459999999999724"/>
    <n v="7455"/>
    <n v="497"/>
  </r>
  <r>
    <s v="Eat out"/>
    <n v="75"/>
    <x v="497"/>
    <n v="2024"/>
    <n v="104.45999999999972"/>
    <n v="29.459999999999724"/>
    <n v="7470"/>
    <n v="498"/>
  </r>
  <r>
    <s v="Eat out"/>
    <n v="0"/>
    <x v="498"/>
    <n v="2024"/>
    <n v="44.459999999999724"/>
    <n v="44.459999999999724"/>
    <n v="7485"/>
    <n v="499"/>
  </r>
  <r>
    <s v="Eat out"/>
    <n v="21.5"/>
    <x v="499"/>
    <n v="2024"/>
    <n v="59.459999999999724"/>
    <n v="37.959999999999724"/>
    <n v="7500"/>
    <n v="500"/>
  </r>
  <r>
    <s v="Eat out"/>
    <n v="7"/>
    <x v="500"/>
    <n v="2024"/>
    <n v="52.959999999999724"/>
    <n v="45.959999999999724"/>
    <n v="7515"/>
    <n v="501"/>
  </r>
  <r>
    <s v="Eat out"/>
    <n v="7"/>
    <x v="501"/>
    <n v="2024"/>
    <n v="60.959999999999724"/>
    <n v="53.959999999999724"/>
    <n v="7530"/>
    <n v="502"/>
  </r>
  <r>
    <s v="Eat out"/>
    <n v="0"/>
    <x v="502"/>
    <n v="2024"/>
    <n v="68.959999999999724"/>
    <n v="68.959999999999724"/>
    <n v="7545"/>
    <n v="503"/>
  </r>
  <r>
    <s v="Total"/>
    <n v="7476.0399999999981"/>
    <x v="503"/>
    <m/>
    <m/>
    <m/>
    <s v="Average daily food"/>
    <n v="14.86290258449303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C57075-1E83-49E4-9C2A-230715639907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19:B38" firstHeaderRow="1" firstDataRow="1" firstDataCol="1"/>
  <pivotFields count="8">
    <pivotField axis="axisRow" showAll="0">
      <items count="10">
        <item h="1" x="5"/>
        <item h="1" x="6"/>
        <item x="4"/>
        <item x="1"/>
        <item x="0"/>
        <item x="2"/>
        <item h="1" x="7"/>
        <item h="1" x="3"/>
        <item h="1" x="8"/>
        <item t="default"/>
      </items>
    </pivotField>
    <pivotField dataField="1" showAll="0">
      <items count="75">
        <item x="58"/>
        <item x="11"/>
        <item x="35"/>
        <item x="27"/>
        <item x="40"/>
        <item x="20"/>
        <item x="17"/>
        <item x="46"/>
        <item x="6"/>
        <item x="16"/>
        <item x="12"/>
        <item x="26"/>
        <item x="31"/>
        <item x="1"/>
        <item x="15"/>
        <item x="14"/>
        <item x="44"/>
        <item x="9"/>
        <item x="2"/>
        <item x="43"/>
        <item x="24"/>
        <item x="8"/>
        <item x="51"/>
        <item x="55"/>
        <item x="3"/>
        <item x="45"/>
        <item x="7"/>
        <item x="50"/>
        <item x="38"/>
        <item x="22"/>
        <item x="30"/>
        <item x="37"/>
        <item x="4"/>
        <item x="5"/>
        <item x="47"/>
        <item x="10"/>
        <item x="48"/>
        <item x="39"/>
        <item x="41"/>
        <item x="23"/>
        <item x="54"/>
        <item x="42"/>
        <item x="57"/>
        <item x="34"/>
        <item x="33"/>
        <item x="52"/>
        <item x="21"/>
        <item x="71"/>
        <item x="53"/>
        <item x="29"/>
        <item x="56"/>
        <item x="49"/>
        <item x="68"/>
        <item x="70"/>
        <item x="28"/>
        <item x="62"/>
        <item x="25"/>
        <item x="61"/>
        <item x="32"/>
        <item x="67"/>
        <item x="13"/>
        <item x="36"/>
        <item x="60"/>
        <item x="65"/>
        <item x="69"/>
        <item x="64"/>
        <item x="63"/>
        <item x="59"/>
        <item x="66"/>
        <item x="72"/>
        <item x="73"/>
        <item x="0"/>
        <item x="18"/>
        <item x="19"/>
        <item t="default"/>
      </items>
    </pivotField>
    <pivotField showAll="0"/>
    <pivotField showAll="0">
      <items count="13">
        <item x="1"/>
        <item x="0"/>
        <item x="4"/>
        <item x="5"/>
        <item x="3"/>
        <item x="8"/>
        <item x="7"/>
        <item x="6"/>
        <item x="9"/>
        <item x="10"/>
        <item x="2"/>
        <item x="11"/>
        <item t="default"/>
      </items>
    </pivotField>
    <pivotField showAll="0">
      <items count="1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 sd="0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</pivotFields>
  <rowFields count="3">
    <field x="7"/>
    <field x="5"/>
    <field x="0"/>
  </rowFields>
  <rowItems count="19">
    <i>
      <x v="1"/>
    </i>
    <i r="1">
      <x v="10"/>
    </i>
    <i>
      <x v="2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3"/>
    </i>
    <i r="1">
      <x v="2"/>
    </i>
    <i r="1">
      <x v="5"/>
    </i>
    <i r="1">
      <x v="6"/>
    </i>
    <i t="grand">
      <x/>
    </i>
  </rowItems>
  <colItems count="1">
    <i/>
  </colItems>
  <dataFields count="1">
    <dataField name="Sum of Amount($)" fld="1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E585DA-EEDE-49F1-9DB2-3241F91F8C5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1:B7" firstHeaderRow="1" firstDataRow="1" firstDataCol="1"/>
  <pivotFields count="7">
    <pivotField axis="axisRow" showAll="0">
      <items count="11">
        <item h="1" x="4"/>
        <item x="3"/>
        <item h="1" x="6"/>
        <item x="2"/>
        <item x="8"/>
        <item x="1"/>
        <item h="1" x="9"/>
        <item h="1" x="5"/>
        <item x="0"/>
        <item h="1" x="7"/>
        <item t="default"/>
      </items>
    </pivotField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6">
    <i>
      <x v="1"/>
    </i>
    <i>
      <x v="3"/>
    </i>
    <i>
      <x v="4"/>
    </i>
    <i>
      <x v="5"/>
    </i>
    <i>
      <x v="8"/>
    </i>
    <i t="grand">
      <x/>
    </i>
  </rowItems>
  <colItems count="1">
    <i/>
  </colItems>
  <dataFields count="1">
    <dataField name="Sum of M. A. in Rs." fld="4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27BF68-7E79-44B5-AE71-C83CF1757AA6}" name="PivotTable5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74:B94" firstHeaderRow="1" firstDataRow="1" firstDataCol="1"/>
  <pivotFields count="11">
    <pivotField showAll="0"/>
    <pivotField dataField="1" showAll="0"/>
    <pivotField showAll="0">
      <items count="5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3"/>
        <item x="502"/>
        <item t="default"/>
      </items>
    </pivotField>
    <pivotField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5">
        <item h="1" x="0"/>
        <item x="1"/>
        <item x="2"/>
        <item h="1" x="3"/>
        <item t="default"/>
      </items>
    </pivotField>
  </pivotFields>
  <rowFields count="2">
    <field x="10"/>
    <field x="8"/>
  </rowFields>
  <rowItems count="20">
    <i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2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 of Spend" fld="1" baseField="0" baseItem="0"/>
  </dataField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D157C9-5BE6-4149-97E9-9C94486E0BBB}" name="PivotTable4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7">
  <location ref="A58:B68" firstHeaderRow="1" firstDataRow="1" firstDataCol="1"/>
  <pivotFields count="10">
    <pivotField showAll="0"/>
    <pivotField showAll="0"/>
    <pivotField showAll="0"/>
    <pivotField dataField="1" showAll="0"/>
    <pivotField showAll="0">
      <items count="10">
        <item x="0"/>
        <item m="1" x="8"/>
        <item x="3"/>
        <item x="4"/>
        <item x="5"/>
        <item x="6"/>
        <item x="1"/>
        <item x="7"/>
        <item x="2"/>
        <item t="default"/>
      </items>
    </pivotField>
    <pivotField showAll="0"/>
    <pivotField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5">
        <item h="1" x="0"/>
        <item x="1"/>
        <item x="2"/>
        <item x="3"/>
        <item x="4"/>
      </items>
    </pivotField>
  </pivotFields>
  <rowFields count="2">
    <field x="9"/>
    <field x="7"/>
  </rowFields>
  <rowItems count="10">
    <i>
      <x v="1"/>
    </i>
    <i r="1">
      <x v="10"/>
    </i>
    <i>
      <x v="2"/>
    </i>
    <i r="1">
      <x v="6"/>
    </i>
    <i r="1">
      <x v="7"/>
    </i>
    <i r="1">
      <x v="10"/>
    </i>
    <i>
      <x v="3"/>
    </i>
    <i r="1">
      <x v="3"/>
    </i>
    <i r="1">
      <x v="10"/>
    </i>
    <i t="grand">
      <x/>
    </i>
  </rowItems>
  <colItems count="1">
    <i/>
  </colItems>
  <dataFields count="1">
    <dataField name="Sum of Amount(Rs.)" fld="3" baseField="9" baseItem="0"/>
  </dataFields>
  <chartFormats count="1"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F31872-02B7-44AE-BB09-008F4D1AD730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43:B53" firstHeaderRow="1" firstDataRow="1" firstDataCol="1"/>
  <pivotFields count="10">
    <pivotField showAll="0"/>
    <pivotField dataField="1" showAll="0">
      <items count="6">
        <item x="1"/>
        <item x="2"/>
        <item x="3"/>
        <item h="1" x="4"/>
        <item h="1" x="0"/>
        <item t="default"/>
      </items>
    </pivotField>
    <pivotField showAll="0"/>
    <pivotField showAll="0"/>
    <pivotField showAll="0">
      <items count="10">
        <item x="0"/>
        <item m="1" x="8"/>
        <item x="3"/>
        <item x="4"/>
        <item x="5"/>
        <item x="6"/>
        <item x="1"/>
        <item x="7"/>
        <item x="2"/>
        <item t="default"/>
      </items>
    </pivotField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6">
        <item h="1" x="0"/>
        <item x="1"/>
        <item x="2"/>
        <item x="3"/>
        <item x="4"/>
        <item t="default"/>
      </items>
    </pivotField>
  </pivotFields>
  <rowFields count="2">
    <field x="9"/>
    <field x="7"/>
  </rowFields>
  <rowItems count="10">
    <i>
      <x v="1"/>
    </i>
    <i r="1">
      <x v="10"/>
    </i>
    <i>
      <x v="2"/>
    </i>
    <i r="1">
      <x v="6"/>
    </i>
    <i r="1">
      <x v="7"/>
    </i>
    <i r="1">
      <x v="10"/>
    </i>
    <i>
      <x v="3"/>
    </i>
    <i r="1">
      <x v="3"/>
    </i>
    <i r="1">
      <x v="10"/>
    </i>
    <i t="grand">
      <x/>
    </i>
  </rowItems>
  <colItems count="1">
    <i/>
  </colItems>
  <dataFields count="1">
    <dataField name="Sum of Amount($)" fld="1" baseField="9" baseItem="0"/>
  </dataFields>
  <chartFormats count="1">
    <chartFormat chart="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D95E4-6786-4702-8046-788126613986}">
  <sheetPr codeName="Sheet1">
    <tabColor rgb="FFFF0000"/>
  </sheetPr>
  <dimension ref="A1:Y11"/>
  <sheetViews>
    <sheetView topLeftCell="C1" zoomScale="131" zoomScaleNormal="85" workbookViewId="0">
      <selection activeCell="K28" sqref="K28"/>
    </sheetView>
  </sheetViews>
  <sheetFormatPr defaultColWidth="25.109375" defaultRowHeight="14.4" x14ac:dyDescent="0.3"/>
  <cols>
    <col min="2" max="2" width="29" bestFit="1" customWidth="1"/>
    <col min="18" max="18" width="25.109375" customWidth="1"/>
  </cols>
  <sheetData>
    <row r="1" spans="1:25" ht="16.2" thickBot="1" x14ac:dyDescent="0.3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4</v>
      </c>
      <c r="H1" s="2" t="s">
        <v>6</v>
      </c>
      <c r="I1" s="3" t="s">
        <v>4</v>
      </c>
      <c r="J1" s="125"/>
      <c r="K1" s="22" t="s">
        <v>0</v>
      </c>
      <c r="L1" s="22" t="s">
        <v>23</v>
      </c>
      <c r="M1" s="22" t="s">
        <v>28</v>
      </c>
      <c r="N1" s="22" t="s">
        <v>25</v>
      </c>
      <c r="O1" s="22" t="s">
        <v>29</v>
      </c>
      <c r="P1" s="22" t="s">
        <v>26</v>
      </c>
      <c r="Q1" s="22" t="s">
        <v>27</v>
      </c>
      <c r="S1" s="4" t="s">
        <v>7</v>
      </c>
      <c r="T1" s="5" t="s">
        <v>8</v>
      </c>
      <c r="U1" s="6" t="s">
        <v>9</v>
      </c>
      <c r="V1" s="7">
        <v>750000</v>
      </c>
      <c r="W1" s="32">
        <f>V1*V3</f>
        <v>82500</v>
      </c>
      <c r="X1" s="7">
        <f>W1/12</f>
        <v>6875</v>
      </c>
      <c r="Y1" s="8">
        <f>X1/V2</f>
        <v>125</v>
      </c>
    </row>
    <row r="2" spans="1:25" x14ac:dyDescent="0.3">
      <c r="A2" s="9" t="s">
        <v>24</v>
      </c>
      <c r="B2" s="10">
        <v>15600</v>
      </c>
      <c r="C2" s="10">
        <v>4</v>
      </c>
      <c r="D2" s="10">
        <f>B2*C2</f>
        <v>62400</v>
      </c>
      <c r="E2" s="10">
        <f>D2*$V$2</f>
        <v>3432000</v>
      </c>
      <c r="F2" s="10">
        <f>D2/2</f>
        <v>31200</v>
      </c>
      <c r="G2" s="10">
        <f>F2*$V$2</f>
        <v>1716000</v>
      </c>
      <c r="H2" s="10">
        <f>D2-F2</f>
        <v>31200</v>
      </c>
      <c r="I2" s="10">
        <f>E2-G2</f>
        <v>1716000</v>
      </c>
      <c r="J2" s="10"/>
      <c r="K2" s="24" t="str">
        <f t="shared" ref="K2:K11" si="0">A2</f>
        <v>Tuition fees</v>
      </c>
      <c r="L2" s="25">
        <f t="shared" ref="L2:L10" si="1">F2/52</f>
        <v>600</v>
      </c>
      <c r="M2" s="25">
        <f>L2*52/12</f>
        <v>2600</v>
      </c>
      <c r="N2" s="25">
        <f>L2*$V$2</f>
        <v>33000</v>
      </c>
      <c r="O2" s="25">
        <f>M2*$V$2</f>
        <v>143000</v>
      </c>
      <c r="P2" s="24">
        <f>N2</f>
        <v>33000</v>
      </c>
      <c r="Q2" s="24">
        <f>P2*52</f>
        <v>1716000</v>
      </c>
      <c r="S2" s="11" t="s">
        <v>10</v>
      </c>
      <c r="T2" s="12">
        <f>D11</f>
        <v>120259</v>
      </c>
      <c r="U2" s="11" t="s">
        <v>11</v>
      </c>
      <c r="V2" s="13">
        <v>55</v>
      </c>
      <c r="W2" s="14"/>
      <c r="X2" s="13"/>
      <c r="Y2" s="14"/>
    </row>
    <row r="3" spans="1:25" x14ac:dyDescent="0.3">
      <c r="A3" s="9" t="s">
        <v>85</v>
      </c>
      <c r="B3" s="10">
        <v>250</v>
      </c>
      <c r="C3" s="10">
        <v>104</v>
      </c>
      <c r="D3" s="10">
        <f t="shared" ref="D3:D10" si="2">B3*C3</f>
        <v>26000</v>
      </c>
      <c r="E3" s="10">
        <f t="shared" ref="E3:E10" si="3">D3*$V$2</f>
        <v>1430000</v>
      </c>
      <c r="F3" s="10">
        <f t="shared" ref="F3:F10" si="4">D3/2</f>
        <v>13000</v>
      </c>
      <c r="G3" s="10">
        <f t="shared" ref="G3:G10" si="5">F3*$V$2</f>
        <v>715000</v>
      </c>
      <c r="H3" s="10">
        <f t="shared" ref="H3:I10" si="6">D3-F3</f>
        <v>13000</v>
      </c>
      <c r="I3" s="10">
        <f t="shared" si="6"/>
        <v>715000</v>
      </c>
      <c r="J3" s="10"/>
      <c r="K3" s="24" t="str">
        <f t="shared" si="0"/>
        <v>Rent</v>
      </c>
      <c r="L3" s="25">
        <f t="shared" si="1"/>
        <v>250</v>
      </c>
      <c r="M3" s="25">
        <f t="shared" ref="M3:M10" si="7">L3*52/12</f>
        <v>1083.3333333333333</v>
      </c>
      <c r="N3" s="25">
        <f t="shared" ref="N3:N10" si="8">L3*$V$2</f>
        <v>13750</v>
      </c>
      <c r="O3" s="25">
        <f t="shared" ref="O3:O10" si="9">M3*$V$2</f>
        <v>59583.333333333328</v>
      </c>
      <c r="P3" s="25">
        <f>N3+N4+N5</f>
        <v>19461.538461538461</v>
      </c>
      <c r="Q3" s="24">
        <f t="shared" ref="Q3:Q10" si="10">P3*52</f>
        <v>1012000</v>
      </c>
      <c r="S3" s="11" t="s">
        <v>12</v>
      </c>
      <c r="T3" s="13">
        <f>V5*V4*2</f>
        <v>49920</v>
      </c>
      <c r="U3" s="11" t="s">
        <v>13</v>
      </c>
      <c r="V3" s="33">
        <v>0.11</v>
      </c>
      <c r="W3" s="14"/>
      <c r="X3" s="13"/>
      <c r="Y3" s="14"/>
    </row>
    <row r="4" spans="1:25" ht="15" thickBot="1" x14ac:dyDescent="0.35">
      <c r="A4" s="9" t="s">
        <v>14</v>
      </c>
      <c r="B4" s="10">
        <v>225</v>
      </c>
      <c r="C4" s="10">
        <v>24</v>
      </c>
      <c r="D4" s="10">
        <f t="shared" si="2"/>
        <v>5400</v>
      </c>
      <c r="E4" s="10">
        <f t="shared" si="3"/>
        <v>297000</v>
      </c>
      <c r="F4" s="10">
        <f t="shared" si="4"/>
        <v>2700</v>
      </c>
      <c r="G4" s="10">
        <f t="shared" si="5"/>
        <v>148500</v>
      </c>
      <c r="H4" s="10">
        <f t="shared" si="6"/>
        <v>2700</v>
      </c>
      <c r="I4" s="10">
        <f t="shared" si="6"/>
        <v>148500</v>
      </c>
      <c r="J4" s="10"/>
      <c r="K4" s="24" t="str">
        <f t="shared" si="0"/>
        <v>Grocery</v>
      </c>
      <c r="L4" s="25">
        <f t="shared" si="1"/>
        <v>51.92307692307692</v>
      </c>
      <c r="M4" s="25">
        <f t="shared" si="7"/>
        <v>225</v>
      </c>
      <c r="N4" s="25">
        <f t="shared" si="8"/>
        <v>2855.7692307692305</v>
      </c>
      <c r="O4" s="25">
        <f t="shared" si="9"/>
        <v>12375</v>
      </c>
      <c r="P4" s="25">
        <f>N7</f>
        <v>1269.2307692307693</v>
      </c>
      <c r="Q4" s="24">
        <f t="shared" si="10"/>
        <v>66000</v>
      </c>
      <c r="S4" s="15" t="s">
        <v>15</v>
      </c>
      <c r="T4" s="16">
        <f>T3*V2</f>
        <v>2745600</v>
      </c>
      <c r="U4" s="11" t="s">
        <v>16</v>
      </c>
      <c r="V4" s="13">
        <f>52*20</f>
        <v>1040</v>
      </c>
      <c r="W4" s="14"/>
      <c r="X4" s="13"/>
      <c r="Y4" s="14"/>
    </row>
    <row r="5" spans="1:25" ht="15" thickBot="1" x14ac:dyDescent="0.35">
      <c r="A5" s="9" t="s">
        <v>106</v>
      </c>
      <c r="B5" s="10">
        <v>225</v>
      </c>
      <c r="C5" s="10">
        <v>24</v>
      </c>
      <c r="D5" s="10">
        <f t="shared" si="2"/>
        <v>5400</v>
      </c>
      <c r="E5" s="10">
        <f t="shared" si="3"/>
        <v>297000</v>
      </c>
      <c r="F5" s="10">
        <f t="shared" si="4"/>
        <v>2700</v>
      </c>
      <c r="G5" s="10">
        <f t="shared" si="5"/>
        <v>148500</v>
      </c>
      <c r="H5" s="10">
        <f t="shared" si="6"/>
        <v>2700</v>
      </c>
      <c r="I5" s="10">
        <f t="shared" si="6"/>
        <v>148500</v>
      </c>
      <c r="J5" s="10"/>
      <c r="K5" s="24" t="str">
        <f t="shared" si="0"/>
        <v>Eat out</v>
      </c>
      <c r="L5" s="25">
        <f t="shared" si="1"/>
        <v>51.92307692307692</v>
      </c>
      <c r="M5" s="25">
        <f t="shared" si="7"/>
        <v>225</v>
      </c>
      <c r="N5" s="25">
        <f t="shared" si="8"/>
        <v>2855.7692307692305</v>
      </c>
      <c r="O5" s="25">
        <f t="shared" si="9"/>
        <v>12375</v>
      </c>
      <c r="P5" s="25">
        <f>N10</f>
        <v>6346.1538461538466</v>
      </c>
      <c r="Q5" s="24">
        <f t="shared" si="10"/>
        <v>330000</v>
      </c>
      <c r="U5" s="15" t="s">
        <v>17</v>
      </c>
      <c r="V5" s="17">
        <v>24</v>
      </c>
      <c r="W5" s="18"/>
      <c r="X5" s="13"/>
      <c r="Y5" s="14"/>
    </row>
    <row r="6" spans="1:25" x14ac:dyDescent="0.3">
      <c r="A6" s="9" t="s">
        <v>18</v>
      </c>
      <c r="B6" s="10">
        <v>500</v>
      </c>
      <c r="C6" s="10">
        <v>4</v>
      </c>
      <c r="D6" s="10">
        <f t="shared" si="2"/>
        <v>2000</v>
      </c>
      <c r="E6" s="10">
        <f t="shared" si="3"/>
        <v>110000</v>
      </c>
      <c r="F6" s="10">
        <f t="shared" si="4"/>
        <v>1000</v>
      </c>
      <c r="G6" s="10">
        <f t="shared" si="5"/>
        <v>55000</v>
      </c>
      <c r="H6" s="10">
        <f t="shared" si="6"/>
        <v>1000</v>
      </c>
      <c r="I6" s="10">
        <f t="shared" si="6"/>
        <v>55000</v>
      </c>
      <c r="J6" s="10"/>
      <c r="K6" s="24" t="str">
        <f t="shared" si="0"/>
        <v>Clothes</v>
      </c>
      <c r="L6" s="25">
        <f t="shared" si="1"/>
        <v>19.23076923076923</v>
      </c>
      <c r="M6" s="25">
        <f t="shared" si="7"/>
        <v>83.333333333333329</v>
      </c>
      <c r="N6" s="25">
        <f t="shared" si="8"/>
        <v>1057.6923076923076</v>
      </c>
      <c r="O6" s="25">
        <f t="shared" si="9"/>
        <v>4583.333333333333</v>
      </c>
      <c r="P6" s="24">
        <v>0</v>
      </c>
      <c r="Q6" s="24">
        <f t="shared" si="10"/>
        <v>0</v>
      </c>
    </row>
    <row r="7" spans="1:25" x14ac:dyDescent="0.3">
      <c r="A7" s="9" t="s">
        <v>19</v>
      </c>
      <c r="B7" s="10">
        <v>100</v>
      </c>
      <c r="C7" s="10">
        <v>24</v>
      </c>
      <c r="D7" s="10">
        <f t="shared" si="2"/>
        <v>2400</v>
      </c>
      <c r="E7" s="10">
        <f t="shared" si="3"/>
        <v>132000</v>
      </c>
      <c r="F7" s="10">
        <f t="shared" si="4"/>
        <v>1200</v>
      </c>
      <c r="G7" s="10">
        <f t="shared" si="5"/>
        <v>66000</v>
      </c>
      <c r="H7" s="10">
        <f t="shared" si="6"/>
        <v>1200</v>
      </c>
      <c r="I7" s="10">
        <f t="shared" si="6"/>
        <v>66000</v>
      </c>
      <c r="J7" s="10"/>
      <c r="K7" s="24" t="str">
        <f t="shared" si="0"/>
        <v>Travel</v>
      </c>
      <c r="L7" s="25">
        <f t="shared" si="1"/>
        <v>23.076923076923077</v>
      </c>
      <c r="M7" s="25">
        <f t="shared" si="7"/>
        <v>100</v>
      </c>
      <c r="N7" s="25">
        <f t="shared" si="8"/>
        <v>1269.2307692307693</v>
      </c>
      <c r="O7" s="25">
        <f t="shared" si="9"/>
        <v>5500</v>
      </c>
      <c r="P7" s="24">
        <v>0</v>
      </c>
      <c r="Q7" s="24">
        <f t="shared" si="10"/>
        <v>0</v>
      </c>
    </row>
    <row r="8" spans="1:25" x14ac:dyDescent="0.3">
      <c r="A8" s="9" t="s">
        <v>20</v>
      </c>
      <c r="B8" s="10">
        <v>1000</v>
      </c>
      <c r="C8" s="10">
        <v>4</v>
      </c>
      <c r="D8" s="10">
        <f t="shared" si="2"/>
        <v>4000</v>
      </c>
      <c r="E8" s="10">
        <f t="shared" si="3"/>
        <v>220000</v>
      </c>
      <c r="F8" s="10">
        <f t="shared" si="4"/>
        <v>2000</v>
      </c>
      <c r="G8" s="10">
        <f t="shared" si="5"/>
        <v>110000</v>
      </c>
      <c r="H8" s="10">
        <f t="shared" si="6"/>
        <v>2000</v>
      </c>
      <c r="I8" s="10">
        <f t="shared" si="6"/>
        <v>110000</v>
      </c>
      <c r="J8" s="10"/>
      <c r="K8" s="24" t="str">
        <f t="shared" si="0"/>
        <v>Flight</v>
      </c>
      <c r="L8" s="25">
        <f t="shared" si="1"/>
        <v>38.46153846153846</v>
      </c>
      <c r="M8" s="25">
        <f t="shared" si="7"/>
        <v>166.66666666666666</v>
      </c>
      <c r="N8" s="25">
        <f t="shared" si="8"/>
        <v>2115.3846153846152</v>
      </c>
      <c r="O8" s="25">
        <f t="shared" si="9"/>
        <v>9166.6666666666661</v>
      </c>
      <c r="P8" s="24">
        <v>0</v>
      </c>
      <c r="Q8" s="24">
        <f t="shared" si="10"/>
        <v>0</v>
      </c>
    </row>
    <row r="9" spans="1:25" x14ac:dyDescent="0.3">
      <c r="A9" s="9" t="s">
        <v>21</v>
      </c>
      <c r="B9" s="10">
        <v>659</v>
      </c>
      <c r="C9" s="10">
        <v>1</v>
      </c>
      <c r="D9" s="10">
        <f t="shared" si="2"/>
        <v>659</v>
      </c>
      <c r="E9" s="10">
        <f t="shared" si="3"/>
        <v>36245</v>
      </c>
      <c r="F9" s="10">
        <f t="shared" si="4"/>
        <v>329.5</v>
      </c>
      <c r="G9" s="10">
        <f t="shared" si="5"/>
        <v>18122.5</v>
      </c>
      <c r="H9" s="10">
        <f t="shared" si="6"/>
        <v>329.5</v>
      </c>
      <c r="I9" s="10">
        <f t="shared" si="6"/>
        <v>18122.5</v>
      </c>
      <c r="J9" s="10"/>
      <c r="K9" s="24" t="str">
        <f t="shared" si="0"/>
        <v>Visa charges</v>
      </c>
      <c r="L9" s="25">
        <f t="shared" si="1"/>
        <v>6.3365384615384617</v>
      </c>
      <c r="M9" s="25">
        <f t="shared" si="7"/>
        <v>27.458333333333332</v>
      </c>
      <c r="N9" s="25">
        <f t="shared" si="8"/>
        <v>348.50961538461542</v>
      </c>
      <c r="O9" s="25">
        <f t="shared" si="9"/>
        <v>1510.2083333333333</v>
      </c>
      <c r="P9" s="24">
        <v>0</v>
      </c>
      <c r="Q9" s="24">
        <f t="shared" si="10"/>
        <v>0</v>
      </c>
    </row>
    <row r="10" spans="1:25" ht="15" thickBot="1" x14ac:dyDescent="0.35">
      <c r="A10" s="9" t="s">
        <v>108</v>
      </c>
      <c r="B10" s="10">
        <v>500</v>
      </c>
      <c r="C10" s="10">
        <v>24</v>
      </c>
      <c r="D10" s="10">
        <f t="shared" si="2"/>
        <v>12000</v>
      </c>
      <c r="E10" s="10">
        <f t="shared" si="3"/>
        <v>660000</v>
      </c>
      <c r="F10" s="10">
        <f t="shared" si="4"/>
        <v>6000</v>
      </c>
      <c r="G10" s="10">
        <f t="shared" si="5"/>
        <v>330000</v>
      </c>
      <c r="H10" s="10">
        <f t="shared" si="6"/>
        <v>6000</v>
      </c>
      <c r="I10" s="10">
        <f t="shared" si="6"/>
        <v>330000</v>
      </c>
      <c r="J10" s="10"/>
      <c r="K10" s="24" t="str">
        <f t="shared" si="0"/>
        <v>Miscellaneous</v>
      </c>
      <c r="L10" s="25">
        <f t="shared" si="1"/>
        <v>115.38461538461539</v>
      </c>
      <c r="M10" s="25">
        <f t="shared" si="7"/>
        <v>500</v>
      </c>
      <c r="N10" s="25">
        <f t="shared" si="8"/>
        <v>6346.1538461538466</v>
      </c>
      <c r="O10" s="25">
        <f t="shared" si="9"/>
        <v>27500</v>
      </c>
      <c r="P10" s="24">
        <v>0</v>
      </c>
      <c r="Q10" s="24">
        <f t="shared" si="10"/>
        <v>0</v>
      </c>
    </row>
    <row r="11" spans="1:25" ht="15" thickBot="1" x14ac:dyDescent="0.35">
      <c r="A11" s="19" t="s">
        <v>22</v>
      </c>
      <c r="B11" s="20">
        <f>SUM(B2:B10)</f>
        <v>19059</v>
      </c>
      <c r="C11" s="21"/>
      <c r="D11" s="21">
        <f t="shared" ref="D11:I11" si="11">SUM(D2:D10)</f>
        <v>120259</v>
      </c>
      <c r="E11" s="21">
        <f t="shared" si="11"/>
        <v>6614245</v>
      </c>
      <c r="F11" s="21">
        <f t="shared" si="11"/>
        <v>60129.5</v>
      </c>
      <c r="G11" s="21">
        <f t="shared" si="11"/>
        <v>3307122.5</v>
      </c>
      <c r="H11" s="21">
        <f t="shared" si="11"/>
        <v>60129.5</v>
      </c>
      <c r="I11" s="21">
        <f t="shared" si="11"/>
        <v>3307122.5</v>
      </c>
      <c r="J11" s="10"/>
      <c r="K11" s="22" t="str">
        <f t="shared" si="0"/>
        <v>Total</v>
      </c>
      <c r="L11" s="23">
        <f t="shared" ref="L11:Q11" si="12">SUM(L2:L10)</f>
        <v>1156.3365384615388</v>
      </c>
      <c r="M11" s="23">
        <f t="shared" si="12"/>
        <v>5010.7916666666661</v>
      </c>
      <c r="N11" s="23">
        <f t="shared" si="12"/>
        <v>63598.509615384617</v>
      </c>
      <c r="O11" s="23">
        <f t="shared" si="12"/>
        <v>275593.54166666663</v>
      </c>
      <c r="P11" s="22">
        <f t="shared" si="12"/>
        <v>60076.923076923071</v>
      </c>
      <c r="Q11" s="22">
        <f t="shared" si="12"/>
        <v>3124000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BAFD2-F985-46FA-94A2-9F60751D7D9F}">
  <sheetPr>
    <tabColor rgb="FFFF0000"/>
  </sheetPr>
  <dimension ref="A1:G11"/>
  <sheetViews>
    <sheetView workbookViewId="0">
      <selection activeCell="B17" sqref="B17"/>
    </sheetView>
  </sheetViews>
  <sheetFormatPr defaultRowHeight="14.4" x14ac:dyDescent="0.3"/>
  <cols>
    <col min="1" max="1" width="12.5546875" bestFit="1" customWidth="1"/>
    <col min="2" max="2" width="13.88671875" bestFit="1" customWidth="1"/>
    <col min="3" max="6" width="12" bestFit="1" customWidth="1"/>
    <col min="7" max="7" width="14.5546875" bestFit="1" customWidth="1"/>
  </cols>
  <sheetData>
    <row r="1" spans="1:7" x14ac:dyDescent="0.3">
      <c r="A1" t="s">
        <v>0</v>
      </c>
      <c r="B1" t="s">
        <v>23</v>
      </c>
      <c r="C1" t="s">
        <v>28</v>
      </c>
      <c r="D1" t="s">
        <v>25</v>
      </c>
      <c r="E1" t="s">
        <v>29</v>
      </c>
      <c r="F1" t="s">
        <v>26</v>
      </c>
      <c r="G1" t="s">
        <v>27</v>
      </c>
    </row>
    <row r="2" spans="1:7" x14ac:dyDescent="0.3">
      <c r="A2" t="s">
        <v>24</v>
      </c>
      <c r="B2">
        <v>600</v>
      </c>
      <c r="C2">
        <v>2600</v>
      </c>
      <c r="D2">
        <v>33000</v>
      </c>
      <c r="E2">
        <v>143000</v>
      </c>
      <c r="F2">
        <v>33000</v>
      </c>
      <c r="G2">
        <v>1716000</v>
      </c>
    </row>
    <row r="3" spans="1:7" x14ac:dyDescent="0.3">
      <c r="A3" t="s">
        <v>85</v>
      </c>
      <c r="B3">
        <v>250</v>
      </c>
      <c r="C3">
        <v>1083.3333333333333</v>
      </c>
      <c r="D3">
        <v>13750</v>
      </c>
      <c r="E3">
        <v>59583.333333333328</v>
      </c>
      <c r="F3">
        <v>19461.538461538461</v>
      </c>
      <c r="G3">
        <v>1012000</v>
      </c>
    </row>
    <row r="4" spans="1:7" x14ac:dyDescent="0.3">
      <c r="A4" t="s">
        <v>14</v>
      </c>
      <c r="B4">
        <v>51.92307692307692</v>
      </c>
      <c r="C4">
        <v>225</v>
      </c>
      <c r="D4">
        <v>2855.7692307692305</v>
      </c>
      <c r="E4">
        <v>12375</v>
      </c>
      <c r="F4">
        <v>1269.2307692307693</v>
      </c>
      <c r="G4">
        <v>66000</v>
      </c>
    </row>
    <row r="5" spans="1:7" x14ac:dyDescent="0.3">
      <c r="A5" t="s">
        <v>106</v>
      </c>
      <c r="B5">
        <v>51.92307692307692</v>
      </c>
      <c r="C5">
        <v>225</v>
      </c>
      <c r="D5">
        <v>2855.7692307692305</v>
      </c>
      <c r="E5">
        <v>12375</v>
      </c>
      <c r="F5">
        <v>6346.1538461538466</v>
      </c>
      <c r="G5">
        <v>330000</v>
      </c>
    </row>
    <row r="6" spans="1:7" x14ac:dyDescent="0.3">
      <c r="A6" t="s">
        <v>18</v>
      </c>
      <c r="B6">
        <v>19.23076923076923</v>
      </c>
      <c r="C6">
        <v>83.333333333333329</v>
      </c>
      <c r="D6">
        <v>1057.6923076923076</v>
      </c>
      <c r="E6">
        <v>4583.333333333333</v>
      </c>
      <c r="F6">
        <v>0</v>
      </c>
      <c r="G6">
        <v>0</v>
      </c>
    </row>
    <row r="7" spans="1:7" x14ac:dyDescent="0.3">
      <c r="A7" t="s">
        <v>19</v>
      </c>
      <c r="B7">
        <v>23.076923076923077</v>
      </c>
      <c r="C7">
        <v>100</v>
      </c>
      <c r="D7">
        <v>1269.2307692307693</v>
      </c>
      <c r="E7">
        <v>5500</v>
      </c>
      <c r="F7">
        <v>0</v>
      </c>
      <c r="G7">
        <v>0</v>
      </c>
    </row>
    <row r="8" spans="1:7" x14ac:dyDescent="0.3">
      <c r="A8" t="s">
        <v>20</v>
      </c>
      <c r="B8">
        <v>38.46153846153846</v>
      </c>
      <c r="C8">
        <v>166.66666666666666</v>
      </c>
      <c r="D8">
        <v>2115.3846153846152</v>
      </c>
      <c r="E8">
        <v>9166.6666666666661</v>
      </c>
      <c r="F8">
        <v>0</v>
      </c>
      <c r="G8">
        <v>0</v>
      </c>
    </row>
    <row r="9" spans="1:7" x14ac:dyDescent="0.3">
      <c r="A9" t="s">
        <v>21</v>
      </c>
      <c r="B9">
        <v>6.3365384615384617</v>
      </c>
      <c r="C9">
        <v>27.458333333333332</v>
      </c>
      <c r="D9">
        <v>348.50961538461542</v>
      </c>
      <c r="E9">
        <v>1510.2083333333333</v>
      </c>
      <c r="F9">
        <v>0</v>
      </c>
      <c r="G9">
        <v>0</v>
      </c>
    </row>
    <row r="10" spans="1:7" x14ac:dyDescent="0.3">
      <c r="A10" t="s">
        <v>108</v>
      </c>
      <c r="B10">
        <v>115.38461538461539</v>
      </c>
      <c r="C10">
        <v>500</v>
      </c>
      <c r="D10">
        <v>6346.1538461538466</v>
      </c>
      <c r="E10">
        <v>27500</v>
      </c>
      <c r="F10">
        <v>0</v>
      </c>
      <c r="G10">
        <v>0</v>
      </c>
    </row>
    <row r="11" spans="1:7" x14ac:dyDescent="0.3">
      <c r="A11" t="s">
        <v>22</v>
      </c>
      <c r="B11">
        <v>1156.3365384615388</v>
      </c>
      <c r="C11">
        <v>5010.7916666666661</v>
      </c>
      <c r="D11">
        <v>63598.509615384617</v>
      </c>
      <c r="E11">
        <v>275593.54166666663</v>
      </c>
      <c r="F11">
        <v>60076.923076923071</v>
      </c>
      <c r="G11">
        <v>3124000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B8FF7-063E-4CF8-B7D8-1B78C97B1BA0}">
  <sheetPr>
    <tabColor rgb="FFFF0000"/>
  </sheetPr>
  <dimension ref="A1:E48"/>
  <sheetViews>
    <sheetView workbookViewId="0">
      <selection activeCell="D48" sqref="D48"/>
    </sheetView>
  </sheetViews>
  <sheetFormatPr defaultColWidth="22" defaultRowHeight="25.8" customHeight="1" x14ac:dyDescent="0.3"/>
  <sheetData>
    <row r="1" spans="1:5" ht="25.8" customHeight="1" thickBot="1" x14ac:dyDescent="0.35">
      <c r="A1" s="26" t="s">
        <v>0</v>
      </c>
      <c r="B1" s="27" t="s">
        <v>39</v>
      </c>
      <c r="C1" s="27" t="s">
        <v>44</v>
      </c>
      <c r="D1" s="27" t="s">
        <v>43</v>
      </c>
      <c r="E1" s="93" t="s">
        <v>48</v>
      </c>
    </row>
    <row r="2" spans="1:5" ht="25.8" customHeight="1" x14ac:dyDescent="0.3">
      <c r="A2" s="28" t="s">
        <v>42</v>
      </c>
      <c r="B2" s="29">
        <v>0</v>
      </c>
      <c r="C2" s="29">
        <v>0</v>
      </c>
      <c r="D2" s="36">
        <v>2500</v>
      </c>
      <c r="E2" s="92">
        <v>44550</v>
      </c>
    </row>
    <row r="3" spans="1:5" ht="25.8" customHeight="1" x14ac:dyDescent="0.3">
      <c r="A3" s="30" t="s">
        <v>40</v>
      </c>
      <c r="B3" s="29">
        <v>0</v>
      </c>
      <c r="C3" s="29">
        <v>0</v>
      </c>
      <c r="D3" s="35">
        <v>9000</v>
      </c>
      <c r="E3" s="92">
        <v>44553</v>
      </c>
    </row>
    <row r="4" spans="1:5" ht="25.8" customHeight="1" x14ac:dyDescent="0.3">
      <c r="A4" s="31" t="s">
        <v>41</v>
      </c>
      <c r="B4" s="37">
        <v>0</v>
      </c>
      <c r="C4" s="37">
        <v>0</v>
      </c>
      <c r="D4" s="34">
        <v>14700</v>
      </c>
      <c r="E4" s="94">
        <v>44605</v>
      </c>
    </row>
    <row r="5" spans="1:5" ht="25.8" customHeight="1" x14ac:dyDescent="0.3">
      <c r="A5" s="29" t="s">
        <v>52</v>
      </c>
      <c r="B5" s="29">
        <v>0</v>
      </c>
      <c r="C5" s="29">
        <v>0</v>
      </c>
      <c r="D5" s="29">
        <v>150</v>
      </c>
      <c r="E5" s="95">
        <v>44848</v>
      </c>
    </row>
    <row r="6" spans="1:5" ht="25.8" customHeight="1" x14ac:dyDescent="0.3">
      <c r="A6" s="29" t="s">
        <v>51</v>
      </c>
      <c r="B6" s="29">
        <v>0</v>
      </c>
      <c r="C6" s="29">
        <v>0</v>
      </c>
      <c r="D6" s="29">
        <v>1000</v>
      </c>
      <c r="E6" s="95">
        <v>44849</v>
      </c>
    </row>
    <row r="7" spans="1:5" ht="25.8" customHeight="1" x14ac:dyDescent="0.3">
      <c r="A7" s="29" t="s">
        <v>53</v>
      </c>
      <c r="B7" s="29">
        <v>0</v>
      </c>
      <c r="C7" s="29">
        <v>0</v>
      </c>
      <c r="D7" s="29">
        <v>1500</v>
      </c>
      <c r="E7" s="95">
        <v>44850</v>
      </c>
    </row>
    <row r="8" spans="1:5" ht="25.8" customHeight="1" x14ac:dyDescent="0.3">
      <c r="A8" s="29" t="s">
        <v>55</v>
      </c>
      <c r="B8" s="29">
        <v>0</v>
      </c>
      <c r="C8" s="29">
        <v>0</v>
      </c>
      <c r="D8" s="29">
        <v>2000</v>
      </c>
      <c r="E8" s="95">
        <v>44860</v>
      </c>
    </row>
    <row r="9" spans="1:5" ht="25.8" customHeight="1" x14ac:dyDescent="0.3">
      <c r="A9" s="29" t="s">
        <v>54</v>
      </c>
      <c r="B9" s="29">
        <v>0</v>
      </c>
      <c r="C9" s="29">
        <v>0</v>
      </c>
      <c r="D9" s="29">
        <v>4355</v>
      </c>
      <c r="E9" s="95">
        <v>44860</v>
      </c>
    </row>
    <row r="10" spans="1:5" ht="25.8" customHeight="1" x14ac:dyDescent="0.3">
      <c r="A10" s="29" t="s">
        <v>109</v>
      </c>
      <c r="B10" s="29">
        <v>0</v>
      </c>
      <c r="C10" s="29">
        <v>0</v>
      </c>
      <c r="D10" s="29">
        <v>500</v>
      </c>
      <c r="E10" s="95">
        <v>44867</v>
      </c>
    </row>
    <row r="11" spans="1:5" ht="25.8" customHeight="1" x14ac:dyDescent="0.3">
      <c r="A11" s="29" t="s">
        <v>56</v>
      </c>
      <c r="B11" s="29">
        <v>0</v>
      </c>
      <c r="C11" s="29">
        <v>0</v>
      </c>
      <c r="D11" s="29">
        <v>6000</v>
      </c>
      <c r="E11" s="95">
        <v>44868</v>
      </c>
    </row>
    <row r="12" spans="1:5" ht="25.8" customHeight="1" x14ac:dyDescent="0.3">
      <c r="A12" s="29" t="s">
        <v>109</v>
      </c>
      <c r="B12" s="29">
        <v>0</v>
      </c>
      <c r="C12" s="29">
        <v>0</v>
      </c>
      <c r="D12" s="29">
        <v>500</v>
      </c>
      <c r="E12" s="95">
        <v>44878</v>
      </c>
    </row>
    <row r="13" spans="1:5" ht="25.8" customHeight="1" x14ac:dyDescent="0.3">
      <c r="A13" s="29" t="s">
        <v>58</v>
      </c>
      <c r="B13" s="29">
        <v>0</v>
      </c>
      <c r="C13" s="29">
        <v>0</v>
      </c>
      <c r="D13" s="29">
        <v>1720</v>
      </c>
      <c r="E13" s="95">
        <v>44878</v>
      </c>
    </row>
    <row r="14" spans="1:5" ht="25.8" customHeight="1" x14ac:dyDescent="0.3">
      <c r="A14" s="29" t="s">
        <v>60</v>
      </c>
      <c r="B14" s="29">
        <v>0</v>
      </c>
      <c r="C14" s="29">
        <v>0</v>
      </c>
      <c r="D14" s="29">
        <v>8000</v>
      </c>
      <c r="E14" s="95">
        <v>44889</v>
      </c>
    </row>
    <row r="15" spans="1:5" ht="25.8" customHeight="1" x14ac:dyDescent="0.3">
      <c r="A15" s="29" t="s">
        <v>20</v>
      </c>
      <c r="B15" s="29">
        <v>0</v>
      </c>
      <c r="C15" s="29">
        <v>0</v>
      </c>
      <c r="D15" s="29">
        <v>57120</v>
      </c>
      <c r="E15" s="95">
        <v>44889</v>
      </c>
    </row>
    <row r="16" spans="1:5" ht="25.8" customHeight="1" x14ac:dyDescent="0.3">
      <c r="A16" s="29" t="s">
        <v>61</v>
      </c>
      <c r="B16" s="29">
        <v>0</v>
      </c>
      <c r="C16" s="29">
        <v>0</v>
      </c>
      <c r="D16" s="29">
        <v>4000</v>
      </c>
      <c r="E16" s="95">
        <v>44890</v>
      </c>
    </row>
    <row r="17" spans="1:5" ht="25.8" customHeight="1" x14ac:dyDescent="0.3">
      <c r="A17" s="29" t="s">
        <v>63</v>
      </c>
      <c r="B17" s="29">
        <v>0</v>
      </c>
      <c r="C17" s="29">
        <v>0</v>
      </c>
      <c r="D17" s="29">
        <v>554</v>
      </c>
      <c r="E17" s="95">
        <v>44892</v>
      </c>
    </row>
    <row r="18" spans="1:5" ht="25.8" customHeight="1" x14ac:dyDescent="0.3">
      <c r="A18" s="29" t="s">
        <v>62</v>
      </c>
      <c r="B18" s="29">
        <v>0</v>
      </c>
      <c r="C18" s="29">
        <v>0</v>
      </c>
      <c r="D18" s="29">
        <v>423</v>
      </c>
      <c r="E18" s="95">
        <v>44892</v>
      </c>
    </row>
    <row r="19" spans="1:5" ht="25.8" customHeight="1" x14ac:dyDescent="0.3">
      <c r="A19" s="29" t="s">
        <v>61</v>
      </c>
      <c r="B19" s="29">
        <v>0</v>
      </c>
      <c r="C19" s="29">
        <v>0</v>
      </c>
      <c r="D19" s="29">
        <v>1800</v>
      </c>
      <c r="E19" s="95">
        <v>44892</v>
      </c>
    </row>
    <row r="20" spans="1:5" ht="25.8" customHeight="1" x14ac:dyDescent="0.3">
      <c r="A20" s="29" t="s">
        <v>75</v>
      </c>
      <c r="B20" s="29">
        <v>0</v>
      </c>
      <c r="C20" s="29">
        <v>0</v>
      </c>
      <c r="D20" s="29">
        <v>3980</v>
      </c>
      <c r="E20" s="95">
        <v>44897</v>
      </c>
    </row>
    <row r="21" spans="1:5" ht="25.8" customHeight="1" x14ac:dyDescent="0.3">
      <c r="A21" s="29" t="s">
        <v>64</v>
      </c>
      <c r="B21" s="29">
        <v>0</v>
      </c>
      <c r="C21" s="29">
        <v>0</v>
      </c>
      <c r="D21" s="29">
        <v>1300</v>
      </c>
      <c r="E21" s="95">
        <v>44904</v>
      </c>
    </row>
    <row r="22" spans="1:5" ht="25.8" customHeight="1" x14ac:dyDescent="0.3">
      <c r="A22" s="29" t="s">
        <v>65</v>
      </c>
      <c r="B22" s="29">
        <v>0</v>
      </c>
      <c r="C22" s="29">
        <v>0</v>
      </c>
      <c r="D22" s="29">
        <v>380</v>
      </c>
      <c r="E22" s="95">
        <v>44908</v>
      </c>
    </row>
    <row r="23" spans="1:5" ht="25.8" customHeight="1" x14ac:dyDescent="0.3">
      <c r="A23" s="29" t="s">
        <v>67</v>
      </c>
      <c r="B23" s="29">
        <v>0</v>
      </c>
      <c r="C23" s="29">
        <v>0</v>
      </c>
      <c r="D23" s="29">
        <v>2849</v>
      </c>
      <c r="E23" s="95">
        <v>44913</v>
      </c>
    </row>
    <row r="24" spans="1:5" ht="25.8" customHeight="1" x14ac:dyDescent="0.3">
      <c r="A24" s="29" t="s">
        <v>66</v>
      </c>
      <c r="B24" s="29">
        <v>0</v>
      </c>
      <c r="C24" s="29">
        <v>0</v>
      </c>
      <c r="D24" s="29">
        <v>7898</v>
      </c>
      <c r="E24" s="95">
        <v>44913</v>
      </c>
    </row>
    <row r="25" spans="1:5" ht="25.8" customHeight="1" x14ac:dyDescent="0.3">
      <c r="A25" s="29" t="s">
        <v>69</v>
      </c>
      <c r="B25" s="29">
        <v>0</v>
      </c>
      <c r="C25" s="29">
        <v>56.5</v>
      </c>
      <c r="D25" s="29">
        <v>56500</v>
      </c>
      <c r="E25" s="95">
        <v>44914</v>
      </c>
    </row>
    <row r="26" spans="1:5" ht="25.8" customHeight="1" x14ac:dyDescent="0.3">
      <c r="A26" s="29" t="s">
        <v>68</v>
      </c>
      <c r="B26" s="29">
        <v>0</v>
      </c>
      <c r="C26" s="29">
        <v>0</v>
      </c>
      <c r="D26" s="29">
        <v>5000</v>
      </c>
      <c r="E26" s="95">
        <v>44914</v>
      </c>
    </row>
    <row r="27" spans="1:5" ht="25.8" customHeight="1" x14ac:dyDescent="0.3">
      <c r="A27" s="29" t="s">
        <v>70</v>
      </c>
      <c r="B27" s="29">
        <v>0</v>
      </c>
      <c r="C27" s="29">
        <v>0</v>
      </c>
      <c r="D27" s="29">
        <v>1600</v>
      </c>
      <c r="E27" s="95">
        <v>44915</v>
      </c>
    </row>
    <row r="28" spans="1:5" ht="25.8" customHeight="1" x14ac:dyDescent="0.3">
      <c r="A28" s="29" t="s">
        <v>70</v>
      </c>
      <c r="B28" s="29">
        <v>0</v>
      </c>
      <c r="C28" s="29">
        <v>0</v>
      </c>
      <c r="D28" s="29">
        <v>700</v>
      </c>
      <c r="E28" s="95">
        <v>44916</v>
      </c>
    </row>
    <row r="29" spans="1:5" ht="25.8" customHeight="1" x14ac:dyDescent="0.3">
      <c r="A29" s="29" t="s">
        <v>70</v>
      </c>
      <c r="B29" s="29">
        <v>0</v>
      </c>
      <c r="C29" s="29">
        <v>0</v>
      </c>
      <c r="D29" s="29">
        <v>1650</v>
      </c>
      <c r="E29" s="95">
        <v>44917</v>
      </c>
    </row>
    <row r="30" spans="1:5" ht="25.8" customHeight="1" x14ac:dyDescent="0.3">
      <c r="A30" s="29" t="s">
        <v>71</v>
      </c>
      <c r="B30" s="29">
        <v>0</v>
      </c>
      <c r="C30" s="29">
        <v>0</v>
      </c>
      <c r="D30" s="29">
        <v>2600</v>
      </c>
      <c r="E30" s="95">
        <v>44918</v>
      </c>
    </row>
    <row r="31" spans="1:5" ht="25.8" customHeight="1" x14ac:dyDescent="0.3">
      <c r="A31" s="29" t="s">
        <v>72</v>
      </c>
      <c r="B31" s="29">
        <v>0</v>
      </c>
      <c r="C31" s="29">
        <v>0</v>
      </c>
      <c r="D31" s="29">
        <v>2579</v>
      </c>
      <c r="E31" s="95">
        <v>44919</v>
      </c>
    </row>
    <row r="32" spans="1:5" ht="25.8" customHeight="1" x14ac:dyDescent="0.3">
      <c r="A32" s="29" t="s">
        <v>73</v>
      </c>
      <c r="B32" s="29">
        <v>0</v>
      </c>
      <c r="C32" s="29">
        <v>0</v>
      </c>
      <c r="D32" s="29">
        <v>8404</v>
      </c>
      <c r="E32" s="95">
        <v>44920</v>
      </c>
    </row>
    <row r="33" spans="1:5" ht="25.8" customHeight="1" x14ac:dyDescent="0.3">
      <c r="A33" s="29" t="s">
        <v>74</v>
      </c>
      <c r="B33" s="29">
        <v>0</v>
      </c>
      <c r="C33" s="29">
        <v>0</v>
      </c>
      <c r="D33" s="29">
        <v>3700</v>
      </c>
      <c r="E33" s="95">
        <v>44921</v>
      </c>
    </row>
    <row r="34" spans="1:5" ht="25.8" customHeight="1" x14ac:dyDescent="0.3">
      <c r="A34" s="29" t="s">
        <v>76</v>
      </c>
      <c r="B34" s="29">
        <v>0</v>
      </c>
      <c r="C34" s="29">
        <v>0</v>
      </c>
      <c r="D34" s="29">
        <v>800</v>
      </c>
      <c r="E34" s="95">
        <v>44924</v>
      </c>
    </row>
    <row r="35" spans="1:5" ht="25.8" customHeight="1" x14ac:dyDescent="0.3">
      <c r="A35" s="29" t="s">
        <v>70</v>
      </c>
      <c r="B35" s="29">
        <v>0</v>
      </c>
      <c r="C35" s="29">
        <v>0</v>
      </c>
      <c r="D35" s="29">
        <v>200</v>
      </c>
      <c r="E35" s="95">
        <v>44925</v>
      </c>
    </row>
    <row r="36" spans="1:5" ht="25.8" customHeight="1" x14ac:dyDescent="0.3">
      <c r="A36" s="29" t="s">
        <v>109</v>
      </c>
      <c r="B36" s="29">
        <v>0</v>
      </c>
      <c r="C36" s="29">
        <v>0</v>
      </c>
      <c r="D36" s="29">
        <v>1000</v>
      </c>
      <c r="E36" s="95">
        <v>44927</v>
      </c>
    </row>
    <row r="37" spans="1:5" ht="25.8" customHeight="1" x14ac:dyDescent="0.3">
      <c r="A37" s="29" t="s">
        <v>77</v>
      </c>
      <c r="B37" s="29">
        <v>0</v>
      </c>
      <c r="C37" s="29">
        <v>0</v>
      </c>
      <c r="D37" s="29">
        <v>1700</v>
      </c>
      <c r="E37" s="95">
        <v>44929</v>
      </c>
    </row>
    <row r="38" spans="1:5" ht="25.8" customHeight="1" x14ac:dyDescent="0.3">
      <c r="A38" s="29" t="s">
        <v>78</v>
      </c>
      <c r="B38" s="29">
        <v>0</v>
      </c>
      <c r="C38" s="29">
        <v>0</v>
      </c>
      <c r="D38" s="29">
        <v>730</v>
      </c>
      <c r="E38" s="95">
        <v>44939</v>
      </c>
    </row>
    <row r="39" spans="1:5" ht="25.8" customHeight="1" x14ac:dyDescent="0.3">
      <c r="A39" s="29" t="s">
        <v>79</v>
      </c>
      <c r="B39" s="29">
        <v>0</v>
      </c>
      <c r="C39" s="29">
        <v>0</v>
      </c>
      <c r="D39" s="29">
        <v>700</v>
      </c>
      <c r="E39" s="95">
        <v>44939</v>
      </c>
    </row>
    <row r="40" spans="1:5" ht="25.8" customHeight="1" x14ac:dyDescent="0.3">
      <c r="A40" s="29" t="s">
        <v>80</v>
      </c>
      <c r="B40" s="29">
        <v>0</v>
      </c>
      <c r="C40" s="29">
        <v>0</v>
      </c>
      <c r="D40" s="29">
        <v>720</v>
      </c>
      <c r="E40" s="95">
        <v>44944</v>
      </c>
    </row>
    <row r="41" spans="1:5" ht="25.8" customHeight="1" x14ac:dyDescent="0.3">
      <c r="A41" s="29" t="s">
        <v>82</v>
      </c>
      <c r="B41" s="29">
        <v>0</v>
      </c>
      <c r="C41" s="29">
        <v>0</v>
      </c>
      <c r="D41" s="29">
        <v>290</v>
      </c>
      <c r="E41" s="95">
        <v>44945</v>
      </c>
    </row>
    <row r="42" spans="1:5" ht="25.8" customHeight="1" x14ac:dyDescent="0.3">
      <c r="A42" s="29" t="s">
        <v>81</v>
      </c>
      <c r="B42" s="29">
        <v>0</v>
      </c>
      <c r="C42" s="29">
        <v>0</v>
      </c>
      <c r="D42" s="29">
        <v>600</v>
      </c>
      <c r="E42" s="95">
        <v>44945</v>
      </c>
    </row>
    <row r="43" spans="1:5" ht="25.8" customHeight="1" x14ac:dyDescent="0.3">
      <c r="A43" s="29" t="s">
        <v>83</v>
      </c>
      <c r="B43" s="29">
        <v>0</v>
      </c>
      <c r="C43" s="29">
        <v>59.79</v>
      </c>
      <c r="D43" s="29">
        <v>48394</v>
      </c>
      <c r="E43" s="95">
        <v>44960</v>
      </c>
    </row>
    <row r="44" spans="1:5" ht="25.8" customHeight="1" x14ac:dyDescent="0.3">
      <c r="A44" s="29" t="s">
        <v>109</v>
      </c>
      <c r="B44" s="29">
        <v>0</v>
      </c>
      <c r="C44" s="29">
        <v>0</v>
      </c>
      <c r="D44" s="29">
        <v>3000</v>
      </c>
      <c r="E44" s="95">
        <v>44962</v>
      </c>
    </row>
    <row r="45" spans="1:5" ht="25.8" customHeight="1" x14ac:dyDescent="0.3">
      <c r="A45" s="29" t="s">
        <v>90</v>
      </c>
      <c r="B45" s="29">
        <v>0</v>
      </c>
      <c r="C45" s="29">
        <v>0</v>
      </c>
      <c r="D45" s="29">
        <v>1086</v>
      </c>
      <c r="E45" s="95">
        <v>44967</v>
      </c>
    </row>
    <row r="46" spans="1:5" ht="25.8" customHeight="1" x14ac:dyDescent="0.3">
      <c r="A46" s="29" t="s">
        <v>84</v>
      </c>
      <c r="B46" s="29">
        <v>0</v>
      </c>
      <c r="C46" s="29">
        <v>0</v>
      </c>
      <c r="D46" s="29">
        <v>1400</v>
      </c>
      <c r="E46" s="95">
        <v>44969</v>
      </c>
    </row>
    <row r="47" spans="1:5" ht="24" customHeight="1" x14ac:dyDescent="0.3">
      <c r="A47" s="29" t="s">
        <v>59</v>
      </c>
      <c r="B47" s="29">
        <v>0</v>
      </c>
      <c r="C47" s="29">
        <v>54.8</v>
      </c>
      <c r="D47" s="29">
        <v>36124</v>
      </c>
      <c r="E47" s="95">
        <v>44879</v>
      </c>
    </row>
    <row r="48" spans="1:5" ht="25.8" customHeight="1" x14ac:dyDescent="0.3">
      <c r="A48" s="37" t="s">
        <v>123</v>
      </c>
      <c r="B48">
        <f>SUM(B1:B46)</f>
        <v>0</v>
      </c>
      <c r="C48">
        <f>AVERAGE(C1:C46)</f>
        <v>2.584222222222222</v>
      </c>
      <c r="D48">
        <f>SUM(D1:D46)</f>
        <v>275582</v>
      </c>
    </row>
  </sheetData>
  <dataValidations count="2">
    <dataValidation type="list" allowBlank="1" showInputMessage="1" showErrorMessage="1" sqref="A1:A4" xr:uid="{C9F0C7FA-04A8-4E54-BD1E-3D468CE68908}">
      <formula1>"Rent, Food(Dominos), Food(McD), Food(Hungry Jacks), Food(7-Eleven), Food(indian), food(others), optus, vodafone, grocery(woolworths), grocery(coles), grocery(Aldi), Grocery(indian), Shopping(Kmart), Shopping(BigW),Shopping(others), Travel, Misc."</formula1>
    </dataValidation>
    <dataValidation type="list" errorStyle="warning" allowBlank="1" showInputMessage="1" showErrorMessage="1" error="Value not in the list. Continue Anyways" sqref="A5:A29 A31:A47" xr:uid="{5FA58EF0-DFFD-4C5F-AB86-BDAEF60A791F}">
      <formula1>"Rent, Eat out, optus, vodafone, Grocery, Shopping, Loan Int.,Travel, Misc"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14070-2E39-4D22-8D57-58FF5ACD8CA1}">
  <sheetPr codeName="Sheet5">
    <tabColor theme="6"/>
  </sheetPr>
  <dimension ref="A1:XFD13"/>
  <sheetViews>
    <sheetView workbookViewId="0">
      <selection activeCell="E6" sqref="E6"/>
    </sheetView>
  </sheetViews>
  <sheetFormatPr defaultColWidth="20.21875" defaultRowHeight="32.4" customHeight="1" x14ac:dyDescent="0.3"/>
  <sheetData>
    <row r="1" spans="1:7 16384:16384" ht="32.4" customHeight="1" x14ac:dyDescent="0.3">
      <c r="A1" s="86" t="s">
        <v>0</v>
      </c>
      <c r="B1" s="38" t="s">
        <v>39</v>
      </c>
      <c r="C1" s="38" t="s">
        <v>44</v>
      </c>
      <c r="D1" s="38" t="s">
        <v>43</v>
      </c>
      <c r="E1" s="38" t="s">
        <v>48</v>
      </c>
      <c r="F1" s="38" t="s">
        <v>49</v>
      </c>
      <c r="G1" s="91" t="s">
        <v>110</v>
      </c>
    </row>
    <row r="2" spans="1:7 16384:16384" ht="32.4" customHeight="1" x14ac:dyDescent="0.3">
      <c r="A2" s="22" t="s">
        <v>47</v>
      </c>
      <c r="B2" s="22">
        <v>0</v>
      </c>
      <c r="C2" s="22">
        <v>0</v>
      </c>
      <c r="D2" s="22">
        <v>11517</v>
      </c>
      <c r="E2" s="85">
        <v>44841</v>
      </c>
      <c r="F2" s="22">
        <v>2022</v>
      </c>
      <c r="G2" s="97" t="s">
        <v>111</v>
      </c>
    </row>
    <row r="3" spans="1:7 16384:16384" ht="32.4" customHeight="1" x14ac:dyDescent="0.3">
      <c r="A3" s="22" t="s">
        <v>57</v>
      </c>
      <c r="B3" s="22">
        <v>0</v>
      </c>
      <c r="C3" s="22">
        <v>54.106000000000002</v>
      </c>
      <c r="D3" s="22">
        <v>78345</v>
      </c>
      <c r="E3" s="85">
        <v>44841</v>
      </c>
      <c r="F3" s="22">
        <v>2022</v>
      </c>
      <c r="G3" s="97" t="s">
        <v>111</v>
      </c>
    </row>
    <row r="4" spans="1:7 16384:16384" ht="32.4" customHeight="1" x14ac:dyDescent="0.3">
      <c r="A4" s="22" t="s">
        <v>45</v>
      </c>
      <c r="B4" s="22">
        <v>0</v>
      </c>
      <c r="C4" s="22">
        <v>54.106000000000002</v>
      </c>
      <c r="D4" s="22">
        <v>731068</v>
      </c>
      <c r="E4" s="85">
        <v>44841</v>
      </c>
      <c r="F4" s="22">
        <v>2022</v>
      </c>
      <c r="G4" s="97" t="s">
        <v>111</v>
      </c>
    </row>
    <row r="5" spans="1:7 16384:16384" ht="32.4" customHeight="1" x14ac:dyDescent="0.3">
      <c r="A5" s="22" t="s">
        <v>45</v>
      </c>
      <c r="B5" s="22">
        <v>0</v>
      </c>
      <c r="C5" s="22">
        <v>54.106000000000002</v>
      </c>
      <c r="D5" s="22">
        <v>100000</v>
      </c>
      <c r="E5" s="85">
        <v>45572</v>
      </c>
      <c r="F5" s="22">
        <v>2022</v>
      </c>
      <c r="G5" s="97" t="s">
        <v>113</v>
      </c>
    </row>
    <row r="6" spans="1:7 16384:16384" s="90" customFormat="1" ht="24" customHeight="1" x14ac:dyDescent="0.3">
      <c r="A6" s="29" t="s">
        <v>87</v>
      </c>
      <c r="B6" s="29">
        <v>163.19999999999999</v>
      </c>
      <c r="C6" s="29">
        <v>0</v>
      </c>
      <c r="D6" s="29">
        <v>0</v>
      </c>
      <c r="E6" s="129">
        <v>45227</v>
      </c>
      <c r="F6" s="90">
        <v>2023</v>
      </c>
      <c r="G6" s="90" t="s">
        <v>112</v>
      </c>
    </row>
    <row r="7" spans="1:7 16384:16384" s="41" customFormat="1" ht="32.4" customHeight="1" x14ac:dyDescent="0.3">
      <c r="A7" s="22" t="s">
        <v>45</v>
      </c>
      <c r="B7" s="22">
        <v>2522.8000000000002</v>
      </c>
      <c r="C7" s="22">
        <v>0</v>
      </c>
      <c r="D7" s="22">
        <v>0</v>
      </c>
      <c r="E7" s="85">
        <v>45104</v>
      </c>
      <c r="F7" s="22">
        <v>2023</v>
      </c>
      <c r="G7" s="97" t="s">
        <v>112</v>
      </c>
    </row>
    <row r="8" spans="1:7 16384:16384" s="84" customFormat="1" ht="32.4" customHeight="1" x14ac:dyDescent="0.3">
      <c r="A8" s="22" t="s">
        <v>45</v>
      </c>
      <c r="B8" s="22">
        <v>0</v>
      </c>
      <c r="C8" s="22">
        <v>55.22</v>
      </c>
      <c r="D8" s="22">
        <v>467937</v>
      </c>
      <c r="E8" s="85">
        <v>45110</v>
      </c>
      <c r="F8" s="22">
        <v>2023</v>
      </c>
      <c r="G8" s="97" t="s">
        <v>111</v>
      </c>
    </row>
    <row r="9" spans="1:7 16384:16384" s="84" customFormat="1" ht="32.4" customHeight="1" x14ac:dyDescent="0.3">
      <c r="A9" s="22" t="s">
        <v>45</v>
      </c>
      <c r="B9" s="22">
        <v>0</v>
      </c>
      <c r="C9" s="22">
        <v>55.22</v>
      </c>
      <c r="D9" s="22">
        <v>250000</v>
      </c>
      <c r="E9" s="85">
        <v>45110</v>
      </c>
      <c r="F9" s="22">
        <v>2023</v>
      </c>
      <c r="G9" s="97" t="s">
        <v>113</v>
      </c>
    </row>
    <row r="10" spans="1:7 16384:16384" s="84" customFormat="1" ht="32.4" customHeight="1" x14ac:dyDescent="0.3">
      <c r="A10" s="22" t="s">
        <v>45</v>
      </c>
      <c r="B10" s="22">
        <v>5549</v>
      </c>
      <c r="C10" s="22">
        <v>0</v>
      </c>
      <c r="D10" s="22">
        <v>0</v>
      </c>
      <c r="E10" s="85">
        <v>45354</v>
      </c>
      <c r="F10" s="22">
        <v>2024</v>
      </c>
      <c r="G10" s="97" t="s">
        <v>112</v>
      </c>
    </row>
    <row r="11" spans="1:7 16384:16384" s="84" customFormat="1" ht="32.4" customHeight="1" x14ac:dyDescent="0.3">
      <c r="A11" s="22" t="s">
        <v>45</v>
      </c>
      <c r="B11" s="22">
        <v>0</v>
      </c>
      <c r="C11" s="22">
        <v>55.54</v>
      </c>
      <c r="D11" s="22">
        <v>450000</v>
      </c>
      <c r="E11" s="85">
        <v>45364</v>
      </c>
      <c r="F11" s="22">
        <v>2024</v>
      </c>
      <c r="G11" s="97" t="s">
        <v>111</v>
      </c>
    </row>
    <row r="12" spans="1:7 16384:16384" s="84" customFormat="1" ht="32.4" customHeight="1" x14ac:dyDescent="0.3">
      <c r="A12" s="22" t="s">
        <v>45</v>
      </c>
      <c r="B12" s="22">
        <v>0</v>
      </c>
      <c r="C12" s="22">
        <v>55.54</v>
      </c>
      <c r="D12" s="22">
        <v>126048</v>
      </c>
      <c r="E12" s="85">
        <v>45364</v>
      </c>
      <c r="F12" s="22">
        <v>2024</v>
      </c>
      <c r="G12" s="97" t="s">
        <v>113</v>
      </c>
    </row>
    <row r="13" spans="1:7 16384:16384" s="10" customFormat="1" ht="32.4" customHeight="1" x14ac:dyDescent="0.3">
      <c r="A13" s="22" t="s">
        <v>22</v>
      </c>
      <c r="B13" s="22">
        <f>SUM(B2:B12)</f>
        <v>8235</v>
      </c>
      <c r="C13" s="22">
        <f>AVERAGE(C2:C12)</f>
        <v>34.894363636363643</v>
      </c>
      <c r="D13" s="22">
        <f>SUM(D1:D12)</f>
        <v>2214915</v>
      </c>
      <c r="E13" s="22"/>
      <c r="F13" s="22"/>
      <c r="XFD13" s="10">
        <f>SUM(B13:XFC13)</f>
        <v>2223184.8943636362</v>
      </c>
    </row>
  </sheetData>
  <dataValidations count="1">
    <dataValidation type="list" allowBlank="1" showInputMessage="1" showErrorMessage="1" sqref="A1:A5 A7:A1048576" xr:uid="{6A026B75-AC1C-4C90-8AF6-CE12DBEB45BF}">
      <formula1>"Fees, Tax, OSHC"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E868B-D0B5-4D58-A96B-733786856F4A}">
  <sheetPr codeName="Sheet8">
    <tabColor rgb="FFC00000"/>
  </sheetPr>
  <dimension ref="A1:E18"/>
  <sheetViews>
    <sheetView zoomScale="89" workbookViewId="0">
      <selection activeCell="G5" sqref="G5"/>
    </sheetView>
  </sheetViews>
  <sheetFormatPr defaultColWidth="24.33203125" defaultRowHeight="31.2" customHeight="1" x14ac:dyDescent="0.3"/>
  <cols>
    <col min="1" max="16384" width="24.33203125" style="10"/>
  </cols>
  <sheetData>
    <row r="1" spans="1:5" ht="31.2" customHeight="1" x14ac:dyDescent="0.3">
      <c r="A1" s="10" t="s">
        <v>48</v>
      </c>
      <c r="B1" s="10" t="s">
        <v>13</v>
      </c>
    </row>
    <row r="2" spans="1:5" ht="31.2" customHeight="1" x14ac:dyDescent="0.3">
      <c r="A2" s="87">
        <v>44986</v>
      </c>
      <c r="B2" s="88">
        <v>897</v>
      </c>
    </row>
    <row r="3" spans="1:5" ht="31.2" customHeight="1" x14ac:dyDescent="0.3">
      <c r="A3" s="87">
        <v>45026</v>
      </c>
      <c r="B3" s="88">
        <v>1014</v>
      </c>
      <c r="D3" s="22" t="s">
        <v>48</v>
      </c>
      <c r="E3" s="22" t="s">
        <v>101</v>
      </c>
    </row>
    <row r="4" spans="1:5" ht="31.2" customHeight="1" x14ac:dyDescent="0.3">
      <c r="A4" s="87">
        <v>45056</v>
      </c>
      <c r="B4" s="88">
        <v>981</v>
      </c>
      <c r="D4" s="85">
        <v>44967</v>
      </c>
      <c r="E4" s="89">
        <v>110000</v>
      </c>
    </row>
    <row r="5" spans="1:5" ht="31.2" customHeight="1" x14ac:dyDescent="0.3">
      <c r="A5" s="87">
        <v>45086</v>
      </c>
      <c r="B5" s="88">
        <v>1014</v>
      </c>
      <c r="D5" s="85">
        <v>45104</v>
      </c>
      <c r="E5" s="89">
        <v>266000</v>
      </c>
    </row>
    <row r="6" spans="1:5" ht="31.2" customHeight="1" x14ac:dyDescent="0.3">
      <c r="A6" s="87">
        <v>45114</v>
      </c>
      <c r="B6" s="88">
        <v>832</v>
      </c>
      <c r="D6" s="85">
        <v>45363</v>
      </c>
      <c r="E6" s="89">
        <v>200000</v>
      </c>
    </row>
    <row r="7" spans="1:5" ht="31.2" customHeight="1" x14ac:dyDescent="0.3">
      <c r="A7" s="87">
        <v>45117</v>
      </c>
      <c r="B7" s="88">
        <v>2009</v>
      </c>
      <c r="D7" s="22" t="s">
        <v>22</v>
      </c>
      <c r="E7" s="89">
        <f>SUM(E4:E6)</f>
        <v>576000</v>
      </c>
    </row>
    <row r="8" spans="1:5" ht="31.2" customHeight="1" x14ac:dyDescent="0.3">
      <c r="A8" s="87">
        <v>45148</v>
      </c>
      <c r="B8" s="88">
        <v>3465</v>
      </c>
    </row>
    <row r="9" spans="1:5" ht="31.2" customHeight="1" x14ac:dyDescent="0.3">
      <c r="A9" s="87">
        <v>45179</v>
      </c>
      <c r="B9" s="88">
        <v>3465</v>
      </c>
    </row>
    <row r="10" spans="1:5" ht="31.2" customHeight="1" x14ac:dyDescent="0.3">
      <c r="A10" s="87">
        <v>45209</v>
      </c>
      <c r="B10" s="88">
        <v>3465</v>
      </c>
    </row>
    <row r="11" spans="1:5" ht="31.2" customHeight="1" x14ac:dyDescent="0.3">
      <c r="A11" s="87">
        <v>45240</v>
      </c>
      <c r="B11" s="88">
        <v>3465</v>
      </c>
    </row>
    <row r="12" spans="1:5" ht="31.2" customHeight="1" x14ac:dyDescent="0.3">
      <c r="A12" s="87">
        <v>45270</v>
      </c>
      <c r="B12" s="88">
        <v>3465</v>
      </c>
    </row>
    <row r="13" spans="1:5" ht="31.2" customHeight="1" x14ac:dyDescent="0.3">
      <c r="A13" s="87">
        <v>45301</v>
      </c>
      <c r="B13" s="88">
        <v>3465</v>
      </c>
    </row>
    <row r="14" spans="1:5" ht="31.2" customHeight="1" x14ac:dyDescent="0.3">
      <c r="A14" s="87">
        <v>45332</v>
      </c>
      <c r="B14" s="88">
        <v>3465</v>
      </c>
    </row>
    <row r="15" spans="1:5" ht="31.2" customHeight="1" x14ac:dyDescent="0.3">
      <c r="A15" s="87">
        <v>45361</v>
      </c>
      <c r="B15" s="88">
        <v>4520</v>
      </c>
    </row>
    <row r="16" spans="1:5" ht="31.2" customHeight="1" x14ac:dyDescent="0.3">
      <c r="A16" s="87">
        <v>45392</v>
      </c>
      <c r="B16" s="88">
        <v>4520</v>
      </c>
    </row>
    <row r="17" spans="1:2" ht="31.2" customHeight="1" x14ac:dyDescent="0.3">
      <c r="A17" s="87">
        <v>45422</v>
      </c>
      <c r="B17" s="88">
        <v>4520</v>
      </c>
    </row>
    <row r="18" spans="1:2" ht="31.2" customHeight="1" x14ac:dyDescent="0.3">
      <c r="A18" s="87">
        <v>45453</v>
      </c>
      <c r="B18" s="88">
        <v>4520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5CFFE-ACC2-40BA-980A-9DD4BAD33415}">
  <sheetPr codeName="Sheet2">
    <tabColor rgb="FF92D050"/>
  </sheetPr>
  <dimension ref="A1:L15"/>
  <sheetViews>
    <sheetView topLeftCell="E1" zoomScale="130" workbookViewId="0">
      <selection activeCell="G20" sqref="G20"/>
    </sheetView>
  </sheetViews>
  <sheetFormatPr defaultColWidth="16.44140625" defaultRowHeight="14.4" x14ac:dyDescent="0.3"/>
  <sheetData>
    <row r="1" spans="1:12" x14ac:dyDescent="0.3">
      <c r="A1" s="53" t="s">
        <v>30</v>
      </c>
      <c r="B1" s="54" t="s">
        <v>31</v>
      </c>
      <c r="C1" s="59" t="s">
        <v>32</v>
      </c>
      <c r="D1" s="60" t="s">
        <v>33</v>
      </c>
      <c r="E1" s="61" t="s">
        <v>34</v>
      </c>
      <c r="F1" s="62" t="s">
        <v>35</v>
      </c>
      <c r="G1" s="65" t="s">
        <v>36</v>
      </c>
      <c r="H1" s="67" t="s">
        <v>31</v>
      </c>
      <c r="I1" s="76" t="s">
        <v>37</v>
      </c>
      <c r="J1" s="74" t="s">
        <v>38</v>
      </c>
      <c r="K1" s="74" t="s">
        <v>31</v>
      </c>
      <c r="L1" s="74" t="s">
        <v>32</v>
      </c>
    </row>
    <row r="2" spans="1:12" x14ac:dyDescent="0.3">
      <c r="A2" s="53">
        <v>100000</v>
      </c>
      <c r="B2" s="55">
        <v>3.5000000000000003E-2</v>
      </c>
      <c r="C2" s="59">
        <f>A2*B2</f>
        <v>3500.0000000000005</v>
      </c>
      <c r="D2" s="60">
        <v>0</v>
      </c>
      <c r="E2" s="61">
        <v>0</v>
      </c>
      <c r="F2" s="63">
        <f>A2-D2+E2</f>
        <v>100000</v>
      </c>
      <c r="G2" s="53">
        <v>100000</v>
      </c>
      <c r="H2" s="68">
        <v>3.5000000000000003E-2</v>
      </c>
      <c r="I2" s="72">
        <f>G2*H2</f>
        <v>3500.0000000000005</v>
      </c>
      <c r="J2" s="74">
        <v>100000</v>
      </c>
      <c r="K2" s="77">
        <v>3.5000000000000003E-2</v>
      </c>
      <c r="L2" s="74">
        <f>J2*K2</f>
        <v>3500.0000000000005</v>
      </c>
    </row>
    <row r="3" spans="1:12" x14ac:dyDescent="0.3">
      <c r="A3" s="53">
        <v>400000</v>
      </c>
      <c r="B3" s="56">
        <v>5.2499999999999998E-2</v>
      </c>
      <c r="C3" s="59">
        <f t="shared" ref="C3:C10" si="0">A3*B3</f>
        <v>21000</v>
      </c>
      <c r="D3" s="60">
        <v>0</v>
      </c>
      <c r="E3" s="61">
        <v>0</v>
      </c>
      <c r="F3" s="63">
        <f t="shared" ref="F3:F10" si="1">A3-D3+E3</f>
        <v>400000</v>
      </c>
      <c r="G3" s="53">
        <v>400000</v>
      </c>
      <c r="H3" s="68">
        <v>5.5E-2</v>
      </c>
      <c r="I3" s="72">
        <f t="shared" ref="I3:I12" si="2">G3*H3</f>
        <v>22000</v>
      </c>
      <c r="J3" s="74">
        <v>400000</v>
      </c>
      <c r="K3" s="77">
        <v>5.2499999999999998E-2</v>
      </c>
      <c r="L3" s="74">
        <f t="shared" ref="L3:L11" si="3">J3*K3</f>
        <v>21000</v>
      </c>
    </row>
    <row r="4" spans="1:12" x14ac:dyDescent="0.3">
      <c r="A4" s="53">
        <v>1213000</v>
      </c>
      <c r="B4" s="57">
        <v>7.0000000000000007E-2</v>
      </c>
      <c r="C4" s="59">
        <f t="shared" si="0"/>
        <v>84910.000000000015</v>
      </c>
      <c r="D4" s="60">
        <v>925000</v>
      </c>
      <c r="E4" s="61">
        <v>0</v>
      </c>
      <c r="F4" s="63">
        <f t="shared" si="1"/>
        <v>288000</v>
      </c>
      <c r="G4" s="53">
        <v>288000</v>
      </c>
      <c r="H4" s="68">
        <v>7.0000000000000007E-2</v>
      </c>
      <c r="I4" s="72">
        <f t="shared" si="2"/>
        <v>20160.000000000004</v>
      </c>
      <c r="J4" s="74">
        <v>288000</v>
      </c>
      <c r="K4" s="77">
        <v>7.0000000000000007E-2</v>
      </c>
      <c r="L4" s="74">
        <f t="shared" si="3"/>
        <v>20160.000000000004</v>
      </c>
    </row>
    <row r="5" spans="1:12" x14ac:dyDescent="0.3">
      <c r="A5" s="53">
        <v>45000</v>
      </c>
      <c r="B5" s="55">
        <v>3.5000000000000003E-2</v>
      </c>
      <c r="C5" s="59">
        <f t="shared" si="0"/>
        <v>1575.0000000000002</v>
      </c>
      <c r="D5" s="60">
        <v>0</v>
      </c>
      <c r="E5" s="61">
        <v>350000</v>
      </c>
      <c r="F5" s="63">
        <f t="shared" si="1"/>
        <v>395000</v>
      </c>
      <c r="G5" s="53">
        <v>100000</v>
      </c>
      <c r="H5" s="68">
        <v>3.5000000000000003E-2</v>
      </c>
      <c r="I5" s="72">
        <f t="shared" si="2"/>
        <v>3500.0000000000005</v>
      </c>
      <c r="J5" s="74">
        <v>750000</v>
      </c>
      <c r="K5" s="77">
        <v>5.5E-2</v>
      </c>
      <c r="L5" s="74">
        <f>J5*K5</f>
        <v>41250</v>
      </c>
    </row>
    <row r="6" spans="1:12" x14ac:dyDescent="0.3">
      <c r="A6" s="53">
        <v>10000</v>
      </c>
      <c r="B6" s="55">
        <v>3.5000000000000003E-2</v>
      </c>
      <c r="C6" s="59">
        <f t="shared" si="0"/>
        <v>350.00000000000006</v>
      </c>
      <c r="D6" s="60">
        <v>0</v>
      </c>
      <c r="E6" s="61">
        <v>400000</v>
      </c>
      <c r="F6" s="63">
        <f t="shared" si="1"/>
        <v>410000</v>
      </c>
      <c r="G6" s="53">
        <v>295000</v>
      </c>
      <c r="H6" s="68">
        <v>0.06</v>
      </c>
      <c r="I6" s="72">
        <f t="shared" si="2"/>
        <v>17700</v>
      </c>
      <c r="J6" s="74">
        <v>45000</v>
      </c>
      <c r="K6" s="77">
        <v>3.5000000000000003E-2</v>
      </c>
      <c r="L6" s="74">
        <f t="shared" si="3"/>
        <v>1575.0000000000002</v>
      </c>
    </row>
    <row r="7" spans="1:12" x14ac:dyDescent="0.3">
      <c r="A7" s="53">
        <v>300000</v>
      </c>
      <c r="B7" s="55">
        <v>6.5000000000000002E-2</v>
      </c>
      <c r="C7" s="59">
        <f t="shared" si="0"/>
        <v>19500</v>
      </c>
      <c r="D7" s="60">
        <v>0</v>
      </c>
      <c r="E7" s="61">
        <v>0</v>
      </c>
      <c r="F7" s="63">
        <f t="shared" si="1"/>
        <v>300000</v>
      </c>
      <c r="G7" s="53">
        <v>300000</v>
      </c>
      <c r="H7" s="68">
        <v>6.5000000000000002E-2</v>
      </c>
      <c r="I7" s="72">
        <f t="shared" si="2"/>
        <v>19500</v>
      </c>
      <c r="J7" s="74">
        <v>10000</v>
      </c>
      <c r="K7" s="77">
        <v>3.5000000000000003E-2</v>
      </c>
      <c r="L7" s="74">
        <f t="shared" si="3"/>
        <v>350.00000000000006</v>
      </c>
    </row>
    <row r="8" spans="1:12" x14ac:dyDescent="0.3">
      <c r="A8" s="53">
        <v>300000</v>
      </c>
      <c r="B8" s="55">
        <v>7.0000000000000007E-2</v>
      </c>
      <c r="C8" s="59">
        <f t="shared" si="0"/>
        <v>21000.000000000004</v>
      </c>
      <c r="D8" s="60">
        <v>0</v>
      </c>
      <c r="E8" s="61">
        <v>0</v>
      </c>
      <c r="F8" s="63">
        <f t="shared" si="1"/>
        <v>300000</v>
      </c>
      <c r="G8" s="53">
        <v>300000</v>
      </c>
      <c r="H8" s="68">
        <v>7.0000000000000007E-2</v>
      </c>
      <c r="I8" s="72">
        <f t="shared" si="2"/>
        <v>21000.000000000004</v>
      </c>
      <c r="J8" s="74">
        <v>300000</v>
      </c>
      <c r="K8" s="77">
        <v>6.5000000000000002E-2</v>
      </c>
      <c r="L8" s="74">
        <f t="shared" si="3"/>
        <v>19500</v>
      </c>
    </row>
    <row r="9" spans="1:12" x14ac:dyDescent="0.3">
      <c r="A9" s="53">
        <v>470000</v>
      </c>
      <c r="B9" s="55">
        <v>2.9000000000000001E-2</v>
      </c>
      <c r="C9" s="59">
        <f t="shared" si="0"/>
        <v>13630</v>
      </c>
      <c r="D9" s="60">
        <v>0</v>
      </c>
      <c r="E9" s="61">
        <v>0</v>
      </c>
      <c r="F9" s="63">
        <f t="shared" si="1"/>
        <v>470000</v>
      </c>
      <c r="G9" s="53">
        <v>470000</v>
      </c>
      <c r="H9" s="68">
        <v>5.5E-2</v>
      </c>
      <c r="I9" s="72">
        <f t="shared" si="2"/>
        <v>25850</v>
      </c>
      <c r="J9" s="74">
        <v>300000</v>
      </c>
      <c r="K9" s="77">
        <v>7.0000000000000007E-2</v>
      </c>
      <c r="L9" s="74">
        <f t="shared" si="3"/>
        <v>21000.000000000004</v>
      </c>
    </row>
    <row r="10" spans="1:12" x14ac:dyDescent="0.3">
      <c r="A10" s="53">
        <v>3000</v>
      </c>
      <c r="B10" s="55">
        <v>3.5000000000000003E-2</v>
      </c>
      <c r="C10" s="59">
        <f t="shared" si="0"/>
        <v>105.00000000000001</v>
      </c>
      <c r="D10" s="60">
        <v>0</v>
      </c>
      <c r="E10" s="61">
        <v>0</v>
      </c>
      <c r="F10" s="63">
        <f t="shared" si="1"/>
        <v>3000</v>
      </c>
      <c r="G10" s="53">
        <v>100000</v>
      </c>
      <c r="H10" s="68">
        <v>3.5000000000000003E-2</v>
      </c>
      <c r="I10" s="72">
        <f t="shared" si="2"/>
        <v>3500.0000000000005</v>
      </c>
      <c r="J10" s="74">
        <v>470000</v>
      </c>
      <c r="K10" s="77">
        <v>5.5E-2</v>
      </c>
      <c r="L10" s="74">
        <f t="shared" si="3"/>
        <v>25850</v>
      </c>
    </row>
    <row r="11" spans="1:12" x14ac:dyDescent="0.3">
      <c r="A11" s="53">
        <f>SUM(A2:A10)</f>
        <v>2841000</v>
      </c>
      <c r="B11" s="58">
        <f>C11/A11*100</f>
        <v>5.8278775079197471</v>
      </c>
      <c r="C11" s="59">
        <f>SUM(C2:C10)</f>
        <v>165570.00000000003</v>
      </c>
      <c r="D11" s="60"/>
      <c r="E11" s="61"/>
      <c r="F11" s="63"/>
      <c r="G11" s="53">
        <v>310000</v>
      </c>
      <c r="H11" s="68">
        <v>0.06</v>
      </c>
      <c r="I11" s="72">
        <f t="shared" si="2"/>
        <v>18600</v>
      </c>
      <c r="J11" s="74">
        <v>3000</v>
      </c>
      <c r="K11" s="77">
        <v>3.5000000000000003E-2</v>
      </c>
      <c r="L11" s="74">
        <f t="shared" si="3"/>
        <v>105.00000000000001</v>
      </c>
    </row>
    <row r="12" spans="1:12" x14ac:dyDescent="0.3">
      <c r="A12" s="53"/>
      <c r="B12" s="54"/>
      <c r="C12" s="59"/>
      <c r="D12" s="60"/>
      <c r="E12" s="61"/>
      <c r="F12" s="63"/>
      <c r="G12" s="53">
        <v>3000</v>
      </c>
      <c r="H12" s="68">
        <v>3.5000000000000003E-2</v>
      </c>
      <c r="I12" s="72">
        <f t="shared" si="2"/>
        <v>105.00000000000001</v>
      </c>
      <c r="J12" s="74">
        <f>SUM(J2:J11)</f>
        <v>2666000</v>
      </c>
      <c r="K12" s="75">
        <f>L12/J12*100</f>
        <v>5.7873218304576142</v>
      </c>
      <c r="L12" s="74">
        <f>SUM(L2:L11)</f>
        <v>154290</v>
      </c>
    </row>
    <row r="13" spans="1:12" x14ac:dyDescent="0.3">
      <c r="A13" s="53"/>
      <c r="B13" s="54"/>
      <c r="C13" s="59"/>
      <c r="D13" s="60"/>
      <c r="E13" s="61"/>
      <c r="F13" s="63"/>
      <c r="G13" s="53">
        <f>SUM(G2:G12)</f>
        <v>2666000</v>
      </c>
      <c r="H13" s="69">
        <f>I13/G13*100</f>
        <v>5.8295198799699923</v>
      </c>
      <c r="I13" s="71">
        <f>SUM(I2:I12)</f>
        <v>155415</v>
      </c>
    </row>
    <row r="14" spans="1:12" x14ac:dyDescent="0.3">
      <c r="A14" s="53"/>
      <c r="B14" s="54"/>
      <c r="C14" s="59"/>
      <c r="D14" s="60"/>
      <c r="E14" s="61"/>
      <c r="F14" s="63"/>
      <c r="G14" s="53">
        <f>G13</f>
        <v>2666000</v>
      </c>
      <c r="H14" s="69">
        <f>B11</f>
        <v>5.8278775079197471</v>
      </c>
      <c r="I14" s="71">
        <f>G14*H14/100</f>
        <v>155371.21436114048</v>
      </c>
    </row>
    <row r="15" spans="1:12" ht="15" thickBot="1" x14ac:dyDescent="0.35">
      <c r="A15" s="53"/>
      <c r="B15" s="54"/>
      <c r="C15" s="59"/>
      <c r="D15" s="60"/>
      <c r="E15" s="61"/>
      <c r="F15" s="64"/>
      <c r="G15" s="66">
        <f>A11</f>
        <v>2841000</v>
      </c>
      <c r="H15" s="70">
        <f>H13</f>
        <v>5.8295198799699923</v>
      </c>
      <c r="I15" s="73">
        <f>G15*H15/100</f>
        <v>165616.65978994747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85A87-5D3E-4F1B-A4B7-1BE0C3878821}">
  <sheetPr codeName="Sheet6">
    <tabColor theme="4" tint="-0.249977111117893"/>
  </sheetPr>
  <dimension ref="A1:E27"/>
  <sheetViews>
    <sheetView zoomScaleNormal="100" workbookViewId="0">
      <selection activeCell="E14" sqref="E14"/>
    </sheetView>
  </sheetViews>
  <sheetFormatPr defaultColWidth="14.5546875" defaultRowHeight="14.4" x14ac:dyDescent="0.3"/>
  <cols>
    <col min="3" max="3" width="16.21875" bestFit="1" customWidth="1"/>
    <col min="4" max="4" width="14.88671875" customWidth="1"/>
  </cols>
  <sheetData>
    <row r="1" spans="1:5" x14ac:dyDescent="0.3">
      <c r="A1" s="24" t="s">
        <v>88</v>
      </c>
      <c r="B1" s="24" t="s">
        <v>102</v>
      </c>
      <c r="C1" s="24" t="s">
        <v>92</v>
      </c>
      <c r="D1" s="24" t="s">
        <v>99</v>
      </c>
      <c r="E1" s="40" t="s">
        <v>94</v>
      </c>
    </row>
    <row r="2" spans="1:5" x14ac:dyDescent="0.3">
      <c r="A2" s="44">
        <v>45013</v>
      </c>
      <c r="B2" s="44" t="s">
        <v>103</v>
      </c>
      <c r="C2" s="24">
        <v>9.36</v>
      </c>
      <c r="D2" s="24">
        <v>204.49</v>
      </c>
      <c r="E2">
        <v>0</v>
      </c>
    </row>
    <row r="3" spans="1:5" x14ac:dyDescent="0.3">
      <c r="A3" s="44">
        <v>45020</v>
      </c>
      <c r="B3" s="44" t="s">
        <v>103</v>
      </c>
      <c r="C3" s="24">
        <v>14.16</v>
      </c>
      <c r="D3" s="24">
        <v>330.49</v>
      </c>
      <c r="E3">
        <v>0</v>
      </c>
    </row>
    <row r="4" spans="1:5" x14ac:dyDescent="0.3">
      <c r="A4" s="44">
        <v>45027</v>
      </c>
      <c r="B4" s="44" t="s">
        <v>103</v>
      </c>
      <c r="C4" s="24">
        <v>15.46</v>
      </c>
      <c r="D4" s="24">
        <v>458.74</v>
      </c>
      <c r="E4">
        <v>29</v>
      </c>
    </row>
    <row r="5" spans="1:5" x14ac:dyDescent="0.3">
      <c r="A5" s="44">
        <v>45034</v>
      </c>
      <c r="B5" s="44" t="s">
        <v>103</v>
      </c>
      <c r="C5" s="24">
        <v>15.3</v>
      </c>
      <c r="D5" s="24">
        <v>331.52</v>
      </c>
      <c r="E5">
        <v>0</v>
      </c>
    </row>
    <row r="6" spans="1:5" ht="15" customHeight="1" x14ac:dyDescent="0.3">
      <c r="A6" s="44">
        <v>45042</v>
      </c>
      <c r="B6" s="44" t="s">
        <v>103</v>
      </c>
      <c r="C6" s="24">
        <v>27.55</v>
      </c>
      <c r="D6" s="24">
        <v>613.1</v>
      </c>
      <c r="E6">
        <v>77</v>
      </c>
    </row>
    <row r="7" spans="1:5" ht="15" customHeight="1" x14ac:dyDescent="0.3">
      <c r="A7" s="44">
        <v>45048</v>
      </c>
      <c r="B7" s="44" t="s">
        <v>103</v>
      </c>
      <c r="C7" s="24">
        <v>24.3</v>
      </c>
      <c r="D7" s="24">
        <v>598.30999999999995</v>
      </c>
      <c r="E7">
        <v>73</v>
      </c>
    </row>
    <row r="8" spans="1:5" ht="15" customHeight="1" x14ac:dyDescent="0.3">
      <c r="A8" s="44">
        <v>45055</v>
      </c>
      <c r="B8" s="44" t="s">
        <v>103</v>
      </c>
      <c r="C8" s="24">
        <v>19.34</v>
      </c>
      <c r="D8" s="24">
        <v>457.31</v>
      </c>
      <c r="E8">
        <v>29</v>
      </c>
    </row>
    <row r="9" spans="1:5" ht="15" customHeight="1" x14ac:dyDescent="0.3">
      <c r="A9" s="44">
        <v>45062</v>
      </c>
      <c r="B9" s="44" t="s">
        <v>103</v>
      </c>
      <c r="C9" s="24">
        <v>18.37</v>
      </c>
      <c r="D9" s="24">
        <v>388.44</v>
      </c>
      <c r="E9">
        <v>7</v>
      </c>
    </row>
    <row r="10" spans="1:5" ht="15" customHeight="1" x14ac:dyDescent="0.3">
      <c r="A10" s="44">
        <v>45069</v>
      </c>
      <c r="B10" s="44" t="s">
        <v>103</v>
      </c>
      <c r="C10" s="24">
        <v>23.15</v>
      </c>
      <c r="D10" s="24">
        <v>463.42</v>
      </c>
      <c r="E10">
        <v>32</v>
      </c>
    </row>
    <row r="11" spans="1:5" ht="15" customHeight="1" x14ac:dyDescent="0.3">
      <c r="A11" s="44">
        <v>45076</v>
      </c>
      <c r="B11" s="44" t="s">
        <v>103</v>
      </c>
      <c r="C11" s="24">
        <v>17.420000000000002</v>
      </c>
      <c r="D11" s="24">
        <v>373.15</v>
      </c>
      <c r="E11">
        <v>3</v>
      </c>
    </row>
    <row r="12" spans="1:5" ht="15" customHeight="1" x14ac:dyDescent="0.3">
      <c r="A12" s="44">
        <v>45083</v>
      </c>
      <c r="B12" s="44" t="s">
        <v>103</v>
      </c>
      <c r="C12" s="24">
        <v>13.46</v>
      </c>
      <c r="D12" s="24">
        <v>297.58999999999997</v>
      </c>
      <c r="E12">
        <v>0</v>
      </c>
    </row>
    <row r="13" spans="1:5" ht="15" customHeight="1" x14ac:dyDescent="0.3">
      <c r="A13" s="44">
        <v>45091</v>
      </c>
      <c r="B13" s="44" t="s">
        <v>103</v>
      </c>
      <c r="C13" s="24">
        <v>21.06</v>
      </c>
      <c r="D13" s="24">
        <v>433</v>
      </c>
      <c r="E13">
        <v>19</v>
      </c>
    </row>
    <row r="14" spans="1:5" ht="15" customHeight="1" x14ac:dyDescent="0.3">
      <c r="A14" s="44">
        <v>45091</v>
      </c>
      <c r="B14" s="44" t="s">
        <v>104</v>
      </c>
      <c r="C14" s="24">
        <v>22.25</v>
      </c>
      <c r="D14" s="24">
        <v>489</v>
      </c>
      <c r="E14">
        <v>140</v>
      </c>
    </row>
    <row r="15" spans="1:5" ht="15" customHeight="1" x14ac:dyDescent="0.3">
      <c r="A15" s="44">
        <v>45097</v>
      </c>
      <c r="B15" s="44" t="s">
        <v>103</v>
      </c>
      <c r="C15" s="24">
        <v>34.15</v>
      </c>
      <c r="D15" s="24">
        <v>672</v>
      </c>
      <c r="E15">
        <v>93</v>
      </c>
    </row>
    <row r="16" spans="1:5" ht="15" customHeight="1" x14ac:dyDescent="0.3">
      <c r="A16" s="44">
        <v>45097</v>
      </c>
      <c r="B16" s="44" t="s">
        <v>104</v>
      </c>
      <c r="C16" s="24">
        <v>6.5</v>
      </c>
      <c r="D16" s="24">
        <v>52.58</v>
      </c>
      <c r="E16">
        <v>12</v>
      </c>
    </row>
    <row r="17" spans="1:5" ht="15" customHeight="1" x14ac:dyDescent="0.3">
      <c r="A17" s="44">
        <v>45104</v>
      </c>
      <c r="B17" s="44" t="s">
        <v>103</v>
      </c>
      <c r="C17" s="24">
        <v>14.2</v>
      </c>
      <c r="D17" s="24">
        <v>304.8</v>
      </c>
      <c r="E17">
        <v>0</v>
      </c>
    </row>
    <row r="18" spans="1:5" ht="15" customHeight="1" x14ac:dyDescent="0.3">
      <c r="A18" s="44">
        <v>45110</v>
      </c>
      <c r="B18" s="44" t="s">
        <v>103</v>
      </c>
      <c r="C18" s="24">
        <v>18.23</v>
      </c>
      <c r="D18" s="24">
        <v>470.26</v>
      </c>
      <c r="E18">
        <v>34</v>
      </c>
    </row>
    <row r="19" spans="1:5" ht="15" customHeight="1" x14ac:dyDescent="0.3">
      <c r="A19" s="44">
        <v>45118</v>
      </c>
      <c r="B19" s="44" t="s">
        <v>103</v>
      </c>
      <c r="C19" s="24">
        <v>24.14</v>
      </c>
      <c r="D19" s="24">
        <v>626.63</v>
      </c>
      <c r="E19">
        <v>80</v>
      </c>
    </row>
    <row r="20" spans="1:5" ht="15" customHeight="1" x14ac:dyDescent="0.3">
      <c r="A20" s="44">
        <v>45125</v>
      </c>
      <c r="B20" s="44" t="s">
        <v>103</v>
      </c>
      <c r="C20" s="24">
        <v>27.14</v>
      </c>
      <c r="D20" s="24">
        <v>648.9</v>
      </c>
      <c r="E20">
        <v>86</v>
      </c>
    </row>
    <row r="21" spans="1:5" ht="15" customHeight="1" x14ac:dyDescent="0.3">
      <c r="A21" s="44">
        <v>45128</v>
      </c>
      <c r="B21" s="44" t="s">
        <v>105</v>
      </c>
      <c r="C21" s="24" t="s">
        <v>46</v>
      </c>
      <c r="D21" s="24">
        <v>514</v>
      </c>
      <c r="E21">
        <v>0</v>
      </c>
    </row>
    <row r="22" spans="1:5" ht="15" customHeight="1" x14ac:dyDescent="0.3">
      <c r="A22" s="44">
        <v>45132</v>
      </c>
      <c r="B22" s="44" t="s">
        <v>103</v>
      </c>
      <c r="C22" s="24">
        <v>21.55</v>
      </c>
      <c r="D22" s="24">
        <v>522.78</v>
      </c>
      <c r="E22">
        <v>53</v>
      </c>
    </row>
    <row r="23" spans="1:5" ht="15" customHeight="1" x14ac:dyDescent="0.3">
      <c r="A23" s="44">
        <v>45139</v>
      </c>
      <c r="B23" s="44" t="s">
        <v>103</v>
      </c>
      <c r="C23" s="24">
        <v>12.16</v>
      </c>
      <c r="D23" s="24">
        <v>344.27</v>
      </c>
      <c r="E23">
        <v>0</v>
      </c>
    </row>
    <row r="24" spans="1:5" ht="15" customHeight="1" x14ac:dyDescent="0.3">
      <c r="A24" s="44">
        <v>45146</v>
      </c>
      <c r="B24" s="44" t="s">
        <v>103</v>
      </c>
      <c r="C24" s="24">
        <v>33.56</v>
      </c>
      <c r="D24" s="24">
        <v>789</v>
      </c>
      <c r="E24">
        <v>135</v>
      </c>
    </row>
    <row r="25" spans="1:5" ht="15" customHeight="1" x14ac:dyDescent="0.3">
      <c r="A25" s="44">
        <v>45153</v>
      </c>
      <c r="B25" s="44" t="s">
        <v>103</v>
      </c>
      <c r="C25" s="24">
        <v>16.54</v>
      </c>
      <c r="D25" s="24">
        <v>429.16</v>
      </c>
      <c r="E25">
        <v>17</v>
      </c>
    </row>
    <row r="26" spans="1:5" ht="15" customHeight="1" x14ac:dyDescent="0.3">
      <c r="A26" s="44">
        <v>45160</v>
      </c>
      <c r="B26" s="44" t="s">
        <v>103</v>
      </c>
      <c r="C26" s="24">
        <v>22.55</v>
      </c>
      <c r="D26" s="24">
        <v>548.4</v>
      </c>
      <c r="E26">
        <v>60</v>
      </c>
    </row>
    <row r="27" spans="1:5" x14ac:dyDescent="0.3">
      <c r="A27" s="24" t="s">
        <v>22</v>
      </c>
      <c r="B27" s="24"/>
      <c r="C27" s="43">
        <f>AVERAGE(C2:C26)</f>
        <v>19.662500000000005</v>
      </c>
      <c r="D27" s="24">
        <f>SUM(D2:D26)</f>
        <v>11361.340000000002</v>
      </c>
      <c r="E27">
        <f>SUM(E2:E26)</f>
        <v>979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1B78A-4B46-4BF6-9E1E-94B2691A383C}">
  <sheetPr codeName="Sheet7">
    <tabColor theme="9" tint="0.59999389629810485"/>
  </sheetPr>
  <dimension ref="A1:P20"/>
  <sheetViews>
    <sheetView topLeftCell="A8" zoomScale="148" zoomScaleNormal="100" workbookViewId="0">
      <selection activeCell="E18" sqref="E18"/>
    </sheetView>
  </sheetViews>
  <sheetFormatPr defaultRowHeight="14.4" x14ac:dyDescent="0.3"/>
  <cols>
    <col min="13" max="13" width="11.88671875" bestFit="1" customWidth="1"/>
    <col min="16" max="16" width="15" bestFit="1" customWidth="1"/>
  </cols>
  <sheetData>
    <row r="1" spans="1:16" x14ac:dyDescent="0.3">
      <c r="A1" t="s">
        <v>95</v>
      </c>
      <c r="B1" t="s">
        <v>91</v>
      </c>
      <c r="F1" s="83" t="s">
        <v>98</v>
      </c>
      <c r="G1" s="83">
        <f>I20-M14+P10</f>
        <v>3700</v>
      </c>
    </row>
    <row r="2" spans="1:16" x14ac:dyDescent="0.3">
      <c r="A2" s="78">
        <v>45017</v>
      </c>
      <c r="B2">
        <v>600</v>
      </c>
    </row>
    <row r="3" spans="1:16" x14ac:dyDescent="0.3">
      <c r="A3" s="78">
        <v>45047</v>
      </c>
      <c r="B3">
        <v>600</v>
      </c>
    </row>
    <row r="4" spans="1:16" x14ac:dyDescent="0.3">
      <c r="A4" s="78">
        <v>45078</v>
      </c>
      <c r="B4">
        <v>600</v>
      </c>
    </row>
    <row r="5" spans="1:16" x14ac:dyDescent="0.3">
      <c r="A5" s="78">
        <v>45108</v>
      </c>
      <c r="B5">
        <v>600</v>
      </c>
    </row>
    <row r="6" spans="1:16" x14ac:dyDescent="0.3">
      <c r="A6" s="78">
        <v>45139</v>
      </c>
      <c r="B6">
        <v>600</v>
      </c>
    </row>
    <row r="7" spans="1:16" x14ac:dyDescent="0.3">
      <c r="A7" s="78">
        <v>45170</v>
      </c>
      <c r="B7">
        <v>600</v>
      </c>
      <c r="H7" s="24" t="s">
        <v>48</v>
      </c>
      <c r="I7" s="24" t="s">
        <v>91</v>
      </c>
      <c r="L7" s="45" t="s">
        <v>48</v>
      </c>
      <c r="M7" s="45" t="s">
        <v>93</v>
      </c>
      <c r="O7" s="24" t="s">
        <v>48</v>
      </c>
      <c r="P7" s="24" t="s">
        <v>96</v>
      </c>
    </row>
    <row r="8" spans="1:16" x14ac:dyDescent="0.3">
      <c r="A8" s="78">
        <v>45200</v>
      </c>
      <c r="B8">
        <v>600</v>
      </c>
      <c r="H8" s="47">
        <v>45042</v>
      </c>
      <c r="I8" s="48">
        <v>400</v>
      </c>
      <c r="L8" s="49">
        <v>45060</v>
      </c>
      <c r="M8" s="50">
        <v>20</v>
      </c>
      <c r="O8" s="51">
        <v>45062</v>
      </c>
      <c r="P8" s="52">
        <v>20</v>
      </c>
    </row>
    <row r="9" spans="1:16" x14ac:dyDescent="0.3">
      <c r="A9" s="78">
        <v>45231</v>
      </c>
      <c r="B9">
        <v>600</v>
      </c>
      <c r="H9" s="47">
        <v>45044</v>
      </c>
      <c r="I9" s="48">
        <v>70</v>
      </c>
      <c r="L9" s="79">
        <v>45068</v>
      </c>
      <c r="M9" s="80">
        <v>50</v>
      </c>
      <c r="O9" s="81">
        <v>45068</v>
      </c>
      <c r="P9" s="82">
        <v>15</v>
      </c>
    </row>
    <row r="10" spans="1:16" x14ac:dyDescent="0.3">
      <c r="A10" s="78">
        <v>45261</v>
      </c>
      <c r="B10">
        <v>600</v>
      </c>
      <c r="H10" s="47">
        <v>45048</v>
      </c>
      <c r="I10" s="48">
        <v>190</v>
      </c>
      <c r="L10" s="79">
        <v>45092</v>
      </c>
      <c r="M10" s="80">
        <v>7</v>
      </c>
      <c r="O10" t="s">
        <v>22</v>
      </c>
      <c r="P10">
        <f>SUM(P8:P9)</f>
        <v>35</v>
      </c>
    </row>
    <row r="11" spans="1:16" x14ac:dyDescent="0.3">
      <c r="A11" s="78">
        <v>45292</v>
      </c>
      <c r="B11">
        <v>600</v>
      </c>
      <c r="H11" s="47">
        <v>45055</v>
      </c>
      <c r="I11" s="48">
        <v>340</v>
      </c>
      <c r="L11" s="79">
        <v>45093</v>
      </c>
      <c r="M11" s="80">
        <v>109</v>
      </c>
    </row>
    <row r="12" spans="1:16" x14ac:dyDescent="0.3">
      <c r="A12" s="78">
        <v>45323</v>
      </c>
      <c r="B12">
        <v>600</v>
      </c>
      <c r="H12" s="47">
        <v>45062</v>
      </c>
      <c r="I12" s="48">
        <v>250</v>
      </c>
      <c r="L12" s="79">
        <v>45097</v>
      </c>
      <c r="M12" s="80">
        <v>5</v>
      </c>
    </row>
    <row r="13" spans="1:16" x14ac:dyDescent="0.3">
      <c r="A13" s="78">
        <v>45352</v>
      </c>
      <c r="B13">
        <v>600</v>
      </c>
      <c r="H13" s="47">
        <v>45077</v>
      </c>
      <c r="I13" s="48">
        <v>170</v>
      </c>
      <c r="L13" s="79">
        <v>45104</v>
      </c>
      <c r="M13" s="80">
        <v>2300</v>
      </c>
    </row>
    <row r="14" spans="1:16" x14ac:dyDescent="0.3">
      <c r="A14" s="78">
        <v>45383</v>
      </c>
      <c r="B14">
        <v>600</v>
      </c>
      <c r="H14" s="47">
        <v>45091</v>
      </c>
      <c r="I14" s="48">
        <v>1036</v>
      </c>
      <c r="L14" t="s">
        <v>22</v>
      </c>
      <c r="M14">
        <f>SUM(M8:M13)</f>
        <v>2491</v>
      </c>
    </row>
    <row r="15" spans="1:16" x14ac:dyDescent="0.3">
      <c r="A15" s="78">
        <v>45413</v>
      </c>
      <c r="B15">
        <v>600</v>
      </c>
      <c r="H15" s="47">
        <v>45118</v>
      </c>
      <c r="I15" s="48">
        <v>510</v>
      </c>
    </row>
    <row r="16" spans="1:16" x14ac:dyDescent="0.3">
      <c r="A16" s="78">
        <v>45444</v>
      </c>
      <c r="B16">
        <v>600</v>
      </c>
      <c r="H16" s="47">
        <v>45125</v>
      </c>
      <c r="I16" s="48">
        <v>180</v>
      </c>
    </row>
    <row r="17" spans="1:9" x14ac:dyDescent="0.3">
      <c r="A17" s="78">
        <v>45474</v>
      </c>
      <c r="B17">
        <v>600</v>
      </c>
      <c r="H17" s="47">
        <v>45128</v>
      </c>
      <c r="I17" s="48">
        <v>460</v>
      </c>
    </row>
    <row r="18" spans="1:9" x14ac:dyDescent="0.3">
      <c r="A18" t="s">
        <v>22</v>
      </c>
      <c r="B18">
        <f>SUM(B1:B17)</f>
        <v>9600</v>
      </c>
      <c r="H18" s="47">
        <v>45219</v>
      </c>
      <c r="I18" s="48">
        <v>2350</v>
      </c>
    </row>
    <row r="19" spans="1:9" x14ac:dyDescent="0.3">
      <c r="H19" s="47">
        <v>45224</v>
      </c>
      <c r="I19" s="48">
        <v>200</v>
      </c>
    </row>
    <row r="20" spans="1:9" x14ac:dyDescent="0.3">
      <c r="H20" s="24" t="s">
        <v>22</v>
      </c>
      <c r="I20" s="46">
        <f>SUM(I8:I19)</f>
        <v>6156</v>
      </c>
    </row>
  </sheetData>
  <phoneticPr fontId="13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6A752-250E-439E-838F-5F806ED7AE89}">
  <sheetPr codeName="Sheet3">
    <tabColor rgb="FFFFC000"/>
  </sheetPr>
  <dimension ref="D4:P8"/>
  <sheetViews>
    <sheetView topLeftCell="B1" zoomScale="135" workbookViewId="0">
      <selection activeCell="E4" sqref="E4"/>
    </sheetView>
  </sheetViews>
  <sheetFormatPr defaultRowHeight="14.4" x14ac:dyDescent="0.3"/>
  <cols>
    <col min="4" max="4" width="11" bestFit="1" customWidth="1"/>
    <col min="5" max="5" width="10.77734375" bestFit="1" customWidth="1"/>
  </cols>
  <sheetData>
    <row r="4" spans="4:16" x14ac:dyDescent="0.3">
      <c r="D4" t="s">
        <v>0</v>
      </c>
      <c r="G4" s="130"/>
      <c r="H4" s="130"/>
      <c r="I4" s="130"/>
      <c r="J4" s="130"/>
      <c r="K4" s="130"/>
    </row>
    <row r="5" spans="4:16" x14ac:dyDescent="0.3">
      <c r="D5" t="s">
        <v>39</v>
      </c>
      <c r="G5" s="130"/>
      <c r="H5" s="130"/>
      <c r="I5" s="130"/>
      <c r="J5" s="130"/>
      <c r="K5" s="130"/>
    </row>
    <row r="6" spans="4:16" x14ac:dyDescent="0.3">
      <c r="D6" t="s">
        <v>44</v>
      </c>
      <c r="G6" s="130"/>
      <c r="H6" s="130"/>
      <c r="I6" s="130"/>
      <c r="J6" s="130"/>
      <c r="K6" s="130"/>
      <c r="P6" t="s">
        <v>46</v>
      </c>
    </row>
    <row r="7" spans="4:16" x14ac:dyDescent="0.3">
      <c r="D7" t="s">
        <v>43</v>
      </c>
      <c r="G7" s="130"/>
      <c r="H7" s="130"/>
      <c r="I7" s="130"/>
      <c r="J7" s="130"/>
      <c r="K7" s="130"/>
    </row>
    <row r="8" spans="4:16" x14ac:dyDescent="0.3">
      <c r="D8" t="s">
        <v>48</v>
      </c>
      <c r="G8" s="130"/>
      <c r="H8" s="130"/>
      <c r="I8" s="130"/>
      <c r="J8" s="130"/>
      <c r="K8" s="130"/>
    </row>
  </sheetData>
  <mergeCells count="1">
    <mergeCell ref="G4:K8"/>
  </mergeCells>
  <dataValidations count="1">
    <dataValidation type="list" errorStyle="warning" allowBlank="1" showInputMessage="1" showErrorMessage="1" error="Value not in the list. Continue Anyways" sqref="E1048576 E3" xr:uid="{5FA58EF0-DFFD-4C5F-AB86-BDAEF60A791F}">
      <formula1>"Rent, Eat out, optus, vodafone, Grocery, Shopping, Loan Int.,Travel, Misc"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FB7D9-501C-4B1B-A791-4E5E3B2641B6}">
  <sheetPr codeName="Sheet4">
    <tabColor theme="5" tint="0.39997558519241921"/>
  </sheetPr>
  <dimension ref="A1:F122"/>
  <sheetViews>
    <sheetView topLeftCell="A13" zoomScale="108" zoomScaleNormal="115" workbookViewId="0">
      <selection activeCell="B26" sqref="B26"/>
    </sheetView>
  </sheetViews>
  <sheetFormatPr defaultColWidth="14.5546875" defaultRowHeight="24" customHeight="1" x14ac:dyDescent="0.3"/>
  <cols>
    <col min="1" max="1" width="19.44140625" bestFit="1" customWidth="1"/>
    <col min="5" max="5" width="17.6640625" style="42" bestFit="1" customWidth="1"/>
  </cols>
  <sheetData>
    <row r="1" spans="1:6" ht="24" customHeight="1" thickBot="1" x14ac:dyDescent="0.35">
      <c r="A1" s="26" t="s">
        <v>0</v>
      </c>
      <c r="B1" s="27" t="s">
        <v>39</v>
      </c>
      <c r="C1" s="27" t="s">
        <v>44</v>
      </c>
      <c r="D1" s="27" t="s">
        <v>43</v>
      </c>
      <c r="E1" s="93" t="s">
        <v>48</v>
      </c>
      <c r="F1" s="39"/>
    </row>
    <row r="2" spans="1:6" ht="24" customHeight="1" x14ac:dyDescent="0.3">
      <c r="A2" s="29" t="s">
        <v>85</v>
      </c>
      <c r="B2" s="29">
        <v>0</v>
      </c>
      <c r="C2" s="29">
        <v>53.93</v>
      </c>
      <c r="D2" s="29">
        <v>10934</v>
      </c>
      <c r="E2" s="95">
        <v>44844</v>
      </c>
    </row>
    <row r="3" spans="1:6" ht="24" customHeight="1" x14ac:dyDescent="0.3">
      <c r="A3" s="29" t="s">
        <v>86</v>
      </c>
      <c r="B3" s="29">
        <v>0</v>
      </c>
      <c r="C3" s="29">
        <v>58.4</v>
      </c>
      <c r="D3" s="29">
        <v>3102</v>
      </c>
      <c r="E3" s="95">
        <v>44970</v>
      </c>
    </row>
    <row r="4" spans="1:6" ht="24" customHeight="1" x14ac:dyDescent="0.3">
      <c r="A4" s="37" t="s">
        <v>107</v>
      </c>
      <c r="B4" s="37">
        <v>3.75</v>
      </c>
      <c r="C4" s="37">
        <v>56.5</v>
      </c>
      <c r="D4" s="37">
        <v>0</v>
      </c>
      <c r="E4" s="124">
        <v>44970</v>
      </c>
    </row>
    <row r="5" spans="1:6" ht="24" customHeight="1" x14ac:dyDescent="0.3">
      <c r="A5" s="30" t="s">
        <v>107</v>
      </c>
      <c r="B5" s="30">
        <v>7.4</v>
      </c>
      <c r="C5" s="30">
        <v>56.5</v>
      </c>
      <c r="D5" s="30">
        <v>0</v>
      </c>
      <c r="E5" s="92">
        <v>44971</v>
      </c>
    </row>
    <row r="6" spans="1:6" ht="24" customHeight="1" x14ac:dyDescent="0.3">
      <c r="A6" s="29" t="s">
        <v>107</v>
      </c>
      <c r="B6" s="29">
        <v>12</v>
      </c>
      <c r="C6" s="29">
        <v>56.5</v>
      </c>
      <c r="D6" s="29">
        <v>0</v>
      </c>
      <c r="E6" s="95">
        <v>44971</v>
      </c>
    </row>
    <row r="7" spans="1:6" ht="24" customHeight="1" x14ac:dyDescent="0.3">
      <c r="A7" s="29" t="s">
        <v>85</v>
      </c>
      <c r="B7" s="29">
        <v>0</v>
      </c>
      <c r="C7" s="29">
        <v>58.68</v>
      </c>
      <c r="D7" s="29">
        <v>11855</v>
      </c>
      <c r="E7" s="95">
        <v>44971</v>
      </c>
    </row>
    <row r="8" spans="1:6" ht="24" customHeight="1" x14ac:dyDescent="0.3">
      <c r="A8" s="29" t="s">
        <v>107</v>
      </c>
      <c r="B8" s="29">
        <v>21.75</v>
      </c>
      <c r="C8" s="29">
        <v>56.5</v>
      </c>
      <c r="D8" s="29">
        <v>0</v>
      </c>
      <c r="E8" s="95">
        <v>44972</v>
      </c>
    </row>
    <row r="9" spans="1:6" ht="24" customHeight="1" x14ac:dyDescent="0.3">
      <c r="A9" s="29" t="s">
        <v>107</v>
      </c>
      <c r="B9" s="29">
        <v>22.75</v>
      </c>
      <c r="C9" s="29">
        <v>56.5</v>
      </c>
      <c r="D9" s="29">
        <v>0</v>
      </c>
      <c r="E9" s="95">
        <v>44972</v>
      </c>
    </row>
    <row r="10" spans="1:6" ht="24" customHeight="1" x14ac:dyDescent="0.3">
      <c r="A10" s="29" t="s">
        <v>107</v>
      </c>
      <c r="B10" s="29">
        <v>3.15</v>
      </c>
      <c r="C10" s="29">
        <v>56.5</v>
      </c>
      <c r="D10" s="29">
        <v>0</v>
      </c>
      <c r="E10" s="95">
        <v>44973</v>
      </c>
    </row>
    <row r="11" spans="1:6" ht="24" customHeight="1" x14ac:dyDescent="0.3">
      <c r="A11" s="29" t="s">
        <v>107</v>
      </c>
      <c r="B11" s="29">
        <v>13.5</v>
      </c>
      <c r="C11" s="29">
        <v>56.5</v>
      </c>
      <c r="D11" s="29">
        <v>0</v>
      </c>
      <c r="E11" s="95">
        <v>44974</v>
      </c>
    </row>
    <row r="12" spans="1:6" ht="24" customHeight="1" x14ac:dyDescent="0.3">
      <c r="A12" s="29" t="s">
        <v>19</v>
      </c>
      <c r="B12" s="29">
        <v>10</v>
      </c>
      <c r="C12" s="29">
        <v>56.5</v>
      </c>
      <c r="D12" s="29">
        <v>0</v>
      </c>
      <c r="E12" s="95">
        <v>44974</v>
      </c>
    </row>
    <row r="13" spans="1:6" ht="24" customHeight="1" x14ac:dyDescent="0.3">
      <c r="A13" s="29" t="s">
        <v>107</v>
      </c>
      <c r="B13" s="29">
        <v>6</v>
      </c>
      <c r="C13" s="29">
        <v>56.5</v>
      </c>
      <c r="D13" s="29">
        <v>0</v>
      </c>
      <c r="E13" s="95">
        <v>44975</v>
      </c>
    </row>
    <row r="14" spans="1:6" s="90" customFormat="1" ht="24" customHeight="1" x14ac:dyDescent="0.3">
      <c r="A14" s="29" t="s">
        <v>107</v>
      </c>
      <c r="B14" s="29">
        <v>23</v>
      </c>
      <c r="C14" s="29">
        <v>56.5</v>
      </c>
      <c r="D14" s="29">
        <v>0</v>
      </c>
      <c r="E14" s="92">
        <v>44977</v>
      </c>
    </row>
    <row r="15" spans="1:6" ht="24" customHeight="1" x14ac:dyDescent="0.3">
      <c r="A15" s="29" t="s">
        <v>107</v>
      </c>
      <c r="B15" s="29">
        <v>1</v>
      </c>
      <c r="C15" s="29">
        <v>56.5</v>
      </c>
      <c r="D15" s="29">
        <v>0</v>
      </c>
      <c r="E15" s="95">
        <v>44979</v>
      </c>
    </row>
    <row r="16" spans="1:6" ht="24" customHeight="1" x14ac:dyDescent="0.3">
      <c r="A16" s="29" t="s">
        <v>107</v>
      </c>
      <c r="B16" s="29">
        <v>3.5</v>
      </c>
      <c r="C16" s="29">
        <v>56.5</v>
      </c>
      <c r="D16" s="29">
        <v>0</v>
      </c>
      <c r="E16" s="95">
        <v>44979</v>
      </c>
    </row>
    <row r="17" spans="1:5" ht="24" customHeight="1" x14ac:dyDescent="0.3">
      <c r="A17" s="29" t="s">
        <v>107</v>
      </c>
      <c r="B17" s="29">
        <v>1</v>
      </c>
      <c r="C17" s="29">
        <v>56.5</v>
      </c>
      <c r="D17" s="29">
        <v>0</v>
      </c>
      <c r="E17" s="95">
        <v>44984</v>
      </c>
    </row>
    <row r="18" spans="1:5" ht="24" customHeight="1" x14ac:dyDescent="0.3">
      <c r="A18" s="29" t="s">
        <v>85</v>
      </c>
      <c r="B18" s="29">
        <v>398</v>
      </c>
      <c r="C18" s="29">
        <v>56.5</v>
      </c>
      <c r="D18" s="29">
        <v>0</v>
      </c>
      <c r="E18" s="95">
        <v>44985</v>
      </c>
    </row>
    <row r="19" spans="1:5" ht="24" customHeight="1" x14ac:dyDescent="0.3">
      <c r="A19" s="29" t="s">
        <v>107</v>
      </c>
      <c r="B19" s="29">
        <v>10</v>
      </c>
      <c r="C19" s="29">
        <v>56.5</v>
      </c>
      <c r="D19" s="29">
        <v>0</v>
      </c>
      <c r="E19" s="95">
        <v>44987</v>
      </c>
    </row>
    <row r="20" spans="1:5" ht="24" customHeight="1" x14ac:dyDescent="0.3">
      <c r="A20" s="29" t="s">
        <v>109</v>
      </c>
      <c r="B20" s="29">
        <v>5</v>
      </c>
      <c r="C20" s="29">
        <v>56.5</v>
      </c>
      <c r="D20" s="29">
        <v>0</v>
      </c>
      <c r="E20" s="95">
        <v>44988</v>
      </c>
    </row>
    <row r="21" spans="1:5" ht="24" customHeight="1" x14ac:dyDescent="0.3">
      <c r="A21" s="29" t="s">
        <v>109</v>
      </c>
      <c r="B21" s="29">
        <v>4.5</v>
      </c>
      <c r="C21" s="29">
        <v>56.5</v>
      </c>
      <c r="D21" s="29">
        <v>0</v>
      </c>
      <c r="E21" s="95">
        <v>44990</v>
      </c>
    </row>
    <row r="22" spans="1:5" ht="24" customHeight="1" x14ac:dyDescent="0.3">
      <c r="A22" s="29" t="s">
        <v>107</v>
      </c>
      <c r="B22" s="29">
        <v>3.25</v>
      </c>
      <c r="C22" s="29">
        <v>56.5</v>
      </c>
      <c r="D22" s="29">
        <v>0</v>
      </c>
      <c r="E22" s="95">
        <v>44996</v>
      </c>
    </row>
    <row r="23" spans="1:5" ht="24" customHeight="1" x14ac:dyDescent="0.3">
      <c r="A23" s="29" t="s">
        <v>107</v>
      </c>
      <c r="B23" s="29">
        <v>2.75</v>
      </c>
      <c r="C23" s="29">
        <v>56.5</v>
      </c>
      <c r="D23" s="29">
        <v>0</v>
      </c>
      <c r="E23" s="95">
        <v>44997</v>
      </c>
    </row>
    <row r="24" spans="1:5" ht="24" customHeight="1" x14ac:dyDescent="0.3">
      <c r="A24" s="29" t="s">
        <v>85</v>
      </c>
      <c r="B24" s="29">
        <v>0</v>
      </c>
      <c r="C24" s="29">
        <v>55.22</v>
      </c>
      <c r="D24" s="29">
        <v>11286</v>
      </c>
      <c r="E24" s="95">
        <v>44999</v>
      </c>
    </row>
    <row r="25" spans="1:5" ht="24" customHeight="1" x14ac:dyDescent="0.3">
      <c r="A25" s="29" t="s">
        <v>85</v>
      </c>
      <c r="B25" s="29">
        <v>0</v>
      </c>
      <c r="C25" s="29">
        <v>56.12</v>
      </c>
      <c r="D25" s="29">
        <v>11370</v>
      </c>
      <c r="E25" s="95">
        <v>44999</v>
      </c>
    </row>
    <row r="26" spans="1:5" ht="24" customHeight="1" x14ac:dyDescent="0.3">
      <c r="A26" s="29" t="s">
        <v>109</v>
      </c>
      <c r="B26" s="29">
        <v>2.7</v>
      </c>
      <c r="C26" s="29">
        <v>56.5</v>
      </c>
      <c r="D26" s="29">
        <v>0</v>
      </c>
      <c r="E26" s="95">
        <v>45002</v>
      </c>
    </row>
    <row r="27" spans="1:5" ht="24" customHeight="1" x14ac:dyDescent="0.3">
      <c r="A27" s="29" t="s">
        <v>19</v>
      </c>
      <c r="B27" s="29">
        <v>5</v>
      </c>
      <c r="C27" s="29">
        <v>56.5</v>
      </c>
      <c r="D27" s="29">
        <v>0</v>
      </c>
      <c r="E27" s="95">
        <v>45007</v>
      </c>
    </row>
    <row r="28" spans="1:5" ht="24" customHeight="1" x14ac:dyDescent="0.3">
      <c r="A28" s="29" t="s">
        <v>86</v>
      </c>
      <c r="B28" s="29">
        <v>53.1</v>
      </c>
      <c r="C28" s="29">
        <v>56.5</v>
      </c>
      <c r="D28" s="29">
        <v>0</v>
      </c>
      <c r="E28" s="95">
        <v>45009</v>
      </c>
    </row>
    <row r="29" spans="1:5" ht="24" customHeight="1" x14ac:dyDescent="0.3">
      <c r="A29" s="29" t="s">
        <v>85</v>
      </c>
      <c r="B29" s="29">
        <v>0</v>
      </c>
      <c r="C29" s="29">
        <v>55.65</v>
      </c>
      <c r="D29" s="29">
        <v>22365</v>
      </c>
      <c r="E29" s="95">
        <v>45013</v>
      </c>
    </row>
    <row r="30" spans="1:5" ht="24" customHeight="1" x14ac:dyDescent="0.3">
      <c r="A30" s="29" t="s">
        <v>109</v>
      </c>
      <c r="B30" s="29">
        <v>5</v>
      </c>
      <c r="C30" s="29">
        <v>0</v>
      </c>
      <c r="D30" s="29">
        <v>0</v>
      </c>
      <c r="E30" s="95">
        <v>45017</v>
      </c>
    </row>
    <row r="31" spans="1:5" ht="24" customHeight="1" x14ac:dyDescent="0.3">
      <c r="A31" s="29" t="s">
        <v>109</v>
      </c>
      <c r="B31" s="29">
        <v>16</v>
      </c>
      <c r="C31" s="29">
        <v>0</v>
      </c>
      <c r="D31" s="29">
        <v>0</v>
      </c>
      <c r="E31" s="95">
        <v>45020</v>
      </c>
    </row>
    <row r="32" spans="1:5" ht="24" customHeight="1" x14ac:dyDescent="0.3">
      <c r="A32" s="29" t="s">
        <v>107</v>
      </c>
      <c r="B32" s="29">
        <v>28</v>
      </c>
      <c r="C32" s="29">
        <v>0</v>
      </c>
      <c r="D32" s="29">
        <v>0</v>
      </c>
      <c r="E32" s="95">
        <v>45020</v>
      </c>
    </row>
    <row r="33" spans="1:5" ht="24" customHeight="1" x14ac:dyDescent="0.3">
      <c r="A33" s="29" t="s">
        <v>109</v>
      </c>
      <c r="B33" s="29">
        <v>9</v>
      </c>
      <c r="C33" s="29">
        <v>0</v>
      </c>
      <c r="D33" s="29">
        <v>0</v>
      </c>
      <c r="E33" s="95">
        <v>45026</v>
      </c>
    </row>
    <row r="34" spans="1:5" ht="24" customHeight="1" x14ac:dyDescent="0.3">
      <c r="A34" s="29" t="s">
        <v>85</v>
      </c>
      <c r="B34" s="29">
        <v>250</v>
      </c>
      <c r="C34" s="29">
        <v>0</v>
      </c>
      <c r="D34" s="29">
        <v>0</v>
      </c>
      <c r="E34" s="95">
        <v>45027</v>
      </c>
    </row>
    <row r="35" spans="1:5" ht="24" customHeight="1" x14ac:dyDescent="0.3">
      <c r="A35" s="29" t="s">
        <v>85</v>
      </c>
      <c r="B35" s="29">
        <v>3.64</v>
      </c>
      <c r="C35" s="29">
        <v>0</v>
      </c>
      <c r="D35" s="29">
        <v>0</v>
      </c>
      <c r="E35" s="95">
        <v>45027</v>
      </c>
    </row>
    <row r="36" spans="1:5" ht="24" customHeight="1" x14ac:dyDescent="0.3">
      <c r="A36" s="29" t="s">
        <v>107</v>
      </c>
      <c r="B36" s="29">
        <v>1.4</v>
      </c>
      <c r="C36" s="29">
        <v>0</v>
      </c>
      <c r="D36" s="29">
        <v>0</v>
      </c>
      <c r="E36" s="95">
        <v>45028</v>
      </c>
    </row>
    <row r="37" spans="1:5" ht="24" customHeight="1" x14ac:dyDescent="0.3">
      <c r="A37" s="29" t="s">
        <v>85</v>
      </c>
      <c r="B37" s="29">
        <v>144.32</v>
      </c>
      <c r="C37" s="29">
        <v>0</v>
      </c>
      <c r="D37" s="29">
        <v>0</v>
      </c>
      <c r="E37" s="95">
        <v>45028</v>
      </c>
    </row>
    <row r="38" spans="1:5" ht="24" customHeight="1" x14ac:dyDescent="0.3">
      <c r="A38" s="29" t="s">
        <v>89</v>
      </c>
      <c r="B38" s="29">
        <v>53.1</v>
      </c>
      <c r="C38" s="29">
        <v>0</v>
      </c>
      <c r="D38" s="29">
        <v>0</v>
      </c>
      <c r="E38" s="95">
        <v>45029</v>
      </c>
    </row>
    <row r="39" spans="1:5" ht="24" customHeight="1" x14ac:dyDescent="0.3">
      <c r="A39" s="29" t="s">
        <v>107</v>
      </c>
      <c r="B39" s="29">
        <v>59.75</v>
      </c>
      <c r="C39" s="29">
        <v>0</v>
      </c>
      <c r="D39" s="29">
        <v>0</v>
      </c>
      <c r="E39" s="95">
        <v>45029</v>
      </c>
    </row>
    <row r="40" spans="1:5" ht="24" customHeight="1" x14ac:dyDescent="0.3">
      <c r="A40" s="29" t="s">
        <v>19</v>
      </c>
      <c r="B40" s="29">
        <v>10</v>
      </c>
      <c r="C40" s="29">
        <v>0</v>
      </c>
      <c r="D40" s="29">
        <v>0</v>
      </c>
      <c r="E40" s="95">
        <v>45029</v>
      </c>
    </row>
    <row r="41" spans="1:5" ht="24" customHeight="1" x14ac:dyDescent="0.3">
      <c r="A41" s="29" t="s">
        <v>107</v>
      </c>
      <c r="B41" s="29">
        <v>20</v>
      </c>
      <c r="C41" s="29">
        <v>0</v>
      </c>
      <c r="D41" s="29">
        <v>0</v>
      </c>
      <c r="E41" s="95">
        <v>45031</v>
      </c>
    </row>
    <row r="42" spans="1:5" ht="24" customHeight="1" x14ac:dyDescent="0.3">
      <c r="A42" s="29" t="s">
        <v>85</v>
      </c>
      <c r="B42" s="29">
        <v>3.71</v>
      </c>
      <c r="C42" s="29">
        <v>0</v>
      </c>
      <c r="D42" s="29">
        <v>0</v>
      </c>
      <c r="E42" s="95">
        <v>45041</v>
      </c>
    </row>
    <row r="43" spans="1:5" ht="24" customHeight="1" x14ac:dyDescent="0.3">
      <c r="A43" s="29" t="s">
        <v>85</v>
      </c>
      <c r="B43" s="29">
        <v>350</v>
      </c>
      <c r="C43" s="29">
        <v>0</v>
      </c>
      <c r="D43" s="29">
        <v>0</v>
      </c>
      <c r="E43" s="95">
        <v>45041</v>
      </c>
    </row>
    <row r="44" spans="1:5" ht="24" customHeight="1" x14ac:dyDescent="0.3">
      <c r="A44" s="29" t="s">
        <v>85</v>
      </c>
      <c r="B44" s="29">
        <v>44.36</v>
      </c>
      <c r="C44" s="29">
        <v>0</v>
      </c>
      <c r="D44" s="29">
        <v>0</v>
      </c>
      <c r="E44" s="95">
        <v>45042</v>
      </c>
    </row>
    <row r="45" spans="1:5" ht="24" customHeight="1" x14ac:dyDescent="0.3">
      <c r="A45" s="29" t="s">
        <v>107</v>
      </c>
      <c r="B45" s="29">
        <v>40.5</v>
      </c>
      <c r="C45" s="29">
        <v>0</v>
      </c>
      <c r="D45" s="29">
        <v>0</v>
      </c>
      <c r="E45" s="95">
        <v>45044</v>
      </c>
    </row>
    <row r="46" spans="1:5" ht="24" customHeight="1" x14ac:dyDescent="0.3">
      <c r="A46" s="29" t="s">
        <v>19</v>
      </c>
      <c r="B46" s="29">
        <v>6</v>
      </c>
      <c r="C46" s="29">
        <v>0</v>
      </c>
      <c r="D46" s="29">
        <v>0</v>
      </c>
      <c r="E46" s="95">
        <v>45053</v>
      </c>
    </row>
    <row r="47" spans="1:5" ht="24" customHeight="1" x14ac:dyDescent="0.3">
      <c r="A47" s="29" t="s">
        <v>109</v>
      </c>
      <c r="B47" s="29">
        <v>1.39</v>
      </c>
      <c r="C47" s="29">
        <v>0</v>
      </c>
      <c r="D47" s="29">
        <v>0</v>
      </c>
      <c r="E47" s="95">
        <v>45057</v>
      </c>
    </row>
    <row r="48" spans="1:5" ht="24" customHeight="1" x14ac:dyDescent="0.3">
      <c r="A48" s="29" t="s">
        <v>85</v>
      </c>
      <c r="B48" s="29">
        <v>398</v>
      </c>
      <c r="C48" s="29">
        <v>0</v>
      </c>
      <c r="D48" s="29">
        <v>0</v>
      </c>
      <c r="E48" s="95">
        <v>45058</v>
      </c>
    </row>
    <row r="49" spans="1:5" ht="24" customHeight="1" x14ac:dyDescent="0.3">
      <c r="A49" s="29" t="s">
        <v>97</v>
      </c>
      <c r="B49" s="29">
        <v>0</v>
      </c>
      <c r="C49" s="29">
        <v>0</v>
      </c>
      <c r="D49" s="29">
        <v>22000</v>
      </c>
      <c r="E49" s="95">
        <v>45061</v>
      </c>
    </row>
    <row r="50" spans="1:5" ht="24" customHeight="1" x14ac:dyDescent="0.3">
      <c r="A50" s="29" t="s">
        <v>89</v>
      </c>
      <c r="B50" s="29">
        <v>53.1</v>
      </c>
      <c r="C50" s="29">
        <v>0</v>
      </c>
      <c r="D50" s="29">
        <v>0</v>
      </c>
      <c r="E50" s="95">
        <v>45062</v>
      </c>
    </row>
    <row r="51" spans="1:5" ht="24" customHeight="1" x14ac:dyDescent="0.3">
      <c r="A51" s="29" t="s">
        <v>107</v>
      </c>
      <c r="B51" s="29">
        <v>9</v>
      </c>
      <c r="C51" s="29">
        <v>0</v>
      </c>
      <c r="D51" s="29">
        <v>0</v>
      </c>
      <c r="E51" s="95">
        <v>45067</v>
      </c>
    </row>
    <row r="52" spans="1:5" ht="24" customHeight="1" x14ac:dyDescent="0.3">
      <c r="A52" s="29" t="s">
        <v>85</v>
      </c>
      <c r="B52" s="29">
        <v>398</v>
      </c>
      <c r="C52" s="29">
        <v>0</v>
      </c>
      <c r="D52" s="29">
        <v>0</v>
      </c>
      <c r="E52" s="95">
        <v>45069</v>
      </c>
    </row>
    <row r="53" spans="1:5" ht="24" customHeight="1" x14ac:dyDescent="0.3">
      <c r="A53" s="29" t="s">
        <v>85</v>
      </c>
      <c r="B53" s="29">
        <v>405.16</v>
      </c>
      <c r="C53" s="29">
        <v>0</v>
      </c>
      <c r="D53" s="29">
        <v>0</v>
      </c>
      <c r="E53" s="95">
        <v>45083</v>
      </c>
    </row>
    <row r="54" spans="1:5" ht="24" customHeight="1" x14ac:dyDescent="0.3">
      <c r="A54" s="29" t="s">
        <v>100</v>
      </c>
      <c r="B54" s="29">
        <v>0</v>
      </c>
      <c r="C54" s="29">
        <v>0</v>
      </c>
      <c r="D54" s="29">
        <v>18000</v>
      </c>
      <c r="E54" s="95">
        <v>45084</v>
      </c>
    </row>
    <row r="55" spans="1:5" ht="24" customHeight="1" x14ac:dyDescent="0.3">
      <c r="A55" s="29" t="s">
        <v>107</v>
      </c>
      <c r="B55" s="29">
        <v>21.6</v>
      </c>
      <c r="C55" s="29">
        <v>0</v>
      </c>
      <c r="D55" s="29">
        <v>0</v>
      </c>
      <c r="E55" s="95">
        <v>45087</v>
      </c>
    </row>
    <row r="56" spans="1:5" ht="24" customHeight="1" x14ac:dyDescent="0.3">
      <c r="A56" s="29" t="s">
        <v>109</v>
      </c>
      <c r="B56" s="29">
        <v>15.88</v>
      </c>
      <c r="C56" s="29">
        <v>0</v>
      </c>
      <c r="D56" s="29">
        <v>0</v>
      </c>
      <c r="E56" s="95">
        <v>45093</v>
      </c>
    </row>
    <row r="57" spans="1:5" ht="24" customHeight="1" x14ac:dyDescent="0.3">
      <c r="A57" s="29" t="s">
        <v>89</v>
      </c>
      <c r="B57" s="29">
        <v>53.1</v>
      </c>
      <c r="C57" s="29">
        <v>0</v>
      </c>
      <c r="D57" s="29">
        <v>0</v>
      </c>
      <c r="E57" s="95">
        <v>45093</v>
      </c>
    </row>
    <row r="58" spans="1:5" ht="24" customHeight="1" x14ac:dyDescent="0.3">
      <c r="A58" s="29" t="s">
        <v>85</v>
      </c>
      <c r="B58" s="29">
        <v>398</v>
      </c>
      <c r="C58" s="29">
        <v>0</v>
      </c>
      <c r="D58" s="29">
        <v>0</v>
      </c>
      <c r="E58" s="95">
        <v>45097</v>
      </c>
    </row>
    <row r="59" spans="1:5" ht="24" customHeight="1" x14ac:dyDescent="0.3">
      <c r="A59" s="29" t="s">
        <v>109</v>
      </c>
      <c r="B59" s="29">
        <v>5</v>
      </c>
      <c r="C59" s="29">
        <v>0</v>
      </c>
      <c r="D59" s="29">
        <v>0</v>
      </c>
      <c r="E59" s="95">
        <v>45099</v>
      </c>
    </row>
    <row r="60" spans="1:5" ht="24" customHeight="1" x14ac:dyDescent="0.3">
      <c r="A60" s="29" t="s">
        <v>109</v>
      </c>
      <c r="B60" s="29">
        <v>25.9</v>
      </c>
      <c r="C60" s="29">
        <v>0</v>
      </c>
      <c r="D60" s="29">
        <v>0</v>
      </c>
      <c r="E60" s="95">
        <v>45110</v>
      </c>
    </row>
    <row r="61" spans="1:5" ht="24" customHeight="1" x14ac:dyDescent="0.3">
      <c r="A61" s="29" t="s">
        <v>85</v>
      </c>
      <c r="B61" s="29">
        <v>398</v>
      </c>
      <c r="C61" s="29">
        <v>0</v>
      </c>
      <c r="D61" s="29">
        <v>0</v>
      </c>
      <c r="E61" s="95">
        <v>45111</v>
      </c>
    </row>
    <row r="62" spans="1:5" ht="24" customHeight="1" x14ac:dyDescent="0.3">
      <c r="A62" s="29" t="s">
        <v>107</v>
      </c>
      <c r="B62" s="29">
        <v>2</v>
      </c>
      <c r="C62" s="29">
        <v>0</v>
      </c>
      <c r="D62" s="29">
        <v>0</v>
      </c>
      <c r="E62" s="95">
        <v>45117</v>
      </c>
    </row>
    <row r="63" spans="1:5" ht="24" customHeight="1" x14ac:dyDescent="0.3">
      <c r="A63" s="29" t="s">
        <v>89</v>
      </c>
      <c r="B63" s="29">
        <v>53.1</v>
      </c>
      <c r="C63" s="29">
        <v>0</v>
      </c>
      <c r="D63" s="29">
        <v>0</v>
      </c>
      <c r="E63" s="95">
        <v>45120</v>
      </c>
    </row>
    <row r="64" spans="1:5" ht="24" customHeight="1" x14ac:dyDescent="0.3">
      <c r="A64" s="29" t="s">
        <v>109</v>
      </c>
      <c r="B64" s="29">
        <v>26</v>
      </c>
      <c r="C64" s="29">
        <v>0</v>
      </c>
      <c r="D64" s="29">
        <v>0</v>
      </c>
      <c r="E64" s="95">
        <v>45120</v>
      </c>
    </row>
    <row r="65" spans="1:5" ht="24" customHeight="1" x14ac:dyDescent="0.3">
      <c r="A65" s="29" t="s">
        <v>109</v>
      </c>
      <c r="B65" s="29">
        <v>9</v>
      </c>
      <c r="C65" s="29">
        <v>0</v>
      </c>
      <c r="D65" s="29">
        <v>0</v>
      </c>
      <c r="E65" s="95">
        <v>45123</v>
      </c>
    </row>
    <row r="66" spans="1:5" ht="24" customHeight="1" x14ac:dyDescent="0.3">
      <c r="A66" s="29" t="s">
        <v>109</v>
      </c>
      <c r="B66" s="29">
        <v>30</v>
      </c>
      <c r="C66" s="29">
        <v>0</v>
      </c>
      <c r="D66" s="29">
        <v>0</v>
      </c>
      <c r="E66" s="95">
        <v>45123</v>
      </c>
    </row>
    <row r="67" spans="1:5" ht="24" customHeight="1" x14ac:dyDescent="0.3">
      <c r="A67" s="29" t="s">
        <v>85</v>
      </c>
      <c r="B67" s="29">
        <v>398</v>
      </c>
      <c r="C67" s="29">
        <v>0</v>
      </c>
      <c r="D67" s="29">
        <v>0</v>
      </c>
      <c r="E67" s="95">
        <v>45125</v>
      </c>
    </row>
    <row r="68" spans="1:5" ht="24" customHeight="1" x14ac:dyDescent="0.3">
      <c r="A68" s="29" t="s">
        <v>107</v>
      </c>
      <c r="B68" s="29">
        <v>2</v>
      </c>
      <c r="C68" s="29">
        <v>0</v>
      </c>
      <c r="D68" s="29">
        <v>0</v>
      </c>
      <c r="E68" s="95">
        <v>45132</v>
      </c>
    </row>
    <row r="69" spans="1:5" ht="24" customHeight="1" x14ac:dyDescent="0.3">
      <c r="A69" s="29" t="s">
        <v>107</v>
      </c>
      <c r="B69" s="29">
        <v>7.5</v>
      </c>
      <c r="C69" s="29">
        <v>0</v>
      </c>
      <c r="D69" s="29">
        <v>0</v>
      </c>
      <c r="E69" s="95">
        <v>45133</v>
      </c>
    </row>
    <row r="70" spans="1:5" ht="24" customHeight="1" x14ac:dyDescent="0.3">
      <c r="A70" s="29" t="s">
        <v>107</v>
      </c>
      <c r="B70" s="29">
        <v>2</v>
      </c>
      <c r="C70" s="29">
        <v>0</v>
      </c>
      <c r="D70" s="29">
        <v>0</v>
      </c>
      <c r="E70" s="95">
        <v>45139</v>
      </c>
    </row>
    <row r="71" spans="1:5" ht="24" customHeight="1" x14ac:dyDescent="0.3">
      <c r="A71" s="29" t="s">
        <v>85</v>
      </c>
      <c r="B71" s="29">
        <v>398</v>
      </c>
      <c r="C71" s="29">
        <v>0</v>
      </c>
      <c r="D71" s="29">
        <v>0</v>
      </c>
      <c r="E71" s="95">
        <v>45139</v>
      </c>
    </row>
    <row r="72" spans="1:5" ht="24" customHeight="1" x14ac:dyDescent="0.3">
      <c r="A72" s="29" t="s">
        <v>109</v>
      </c>
      <c r="B72" s="29">
        <v>5.63</v>
      </c>
      <c r="C72" s="29">
        <v>0</v>
      </c>
      <c r="D72" s="29">
        <v>0</v>
      </c>
      <c r="E72" s="95">
        <v>45141</v>
      </c>
    </row>
    <row r="73" spans="1:5" ht="24" customHeight="1" x14ac:dyDescent="0.3">
      <c r="A73" s="29" t="s">
        <v>107</v>
      </c>
      <c r="B73" s="29">
        <v>13</v>
      </c>
      <c r="C73" s="29">
        <v>0</v>
      </c>
      <c r="D73" s="29">
        <v>0</v>
      </c>
      <c r="E73" s="95">
        <v>45143</v>
      </c>
    </row>
    <row r="74" spans="1:5" ht="24" customHeight="1" x14ac:dyDescent="0.3">
      <c r="A74" s="29" t="s">
        <v>107</v>
      </c>
      <c r="B74" s="29">
        <v>3</v>
      </c>
      <c r="C74" s="29">
        <v>0</v>
      </c>
      <c r="D74" s="29">
        <v>0</v>
      </c>
      <c r="E74" s="95">
        <v>45148</v>
      </c>
    </row>
    <row r="75" spans="1:5" ht="24" customHeight="1" x14ac:dyDescent="0.3">
      <c r="A75" s="29" t="s">
        <v>85</v>
      </c>
      <c r="B75" s="29">
        <v>398</v>
      </c>
      <c r="C75" s="29">
        <v>0</v>
      </c>
      <c r="D75" s="29">
        <v>0</v>
      </c>
      <c r="E75" s="95">
        <v>45153</v>
      </c>
    </row>
    <row r="76" spans="1:5" ht="24" customHeight="1" x14ac:dyDescent="0.3">
      <c r="A76" s="29" t="s">
        <v>89</v>
      </c>
      <c r="B76" s="29">
        <v>53.1</v>
      </c>
      <c r="C76" s="29">
        <v>0</v>
      </c>
      <c r="D76" s="29">
        <v>0</v>
      </c>
      <c r="E76" s="95">
        <v>45154</v>
      </c>
    </row>
    <row r="77" spans="1:5" ht="24" customHeight="1" x14ac:dyDescent="0.3">
      <c r="A77" s="29" t="s">
        <v>107</v>
      </c>
      <c r="B77" s="29">
        <v>3</v>
      </c>
      <c r="C77" s="29">
        <v>0</v>
      </c>
      <c r="D77" s="29">
        <v>0</v>
      </c>
      <c r="E77" s="96">
        <v>45161</v>
      </c>
    </row>
    <row r="78" spans="1:5" ht="24" customHeight="1" x14ac:dyDescent="0.3">
      <c r="A78" s="29" t="s">
        <v>109</v>
      </c>
      <c r="B78" s="29">
        <v>22.8</v>
      </c>
      <c r="C78" s="29">
        <v>0</v>
      </c>
      <c r="D78" s="29">
        <v>0</v>
      </c>
      <c r="E78" s="96">
        <v>45164</v>
      </c>
    </row>
    <row r="79" spans="1:5" ht="24" customHeight="1" x14ac:dyDescent="0.3">
      <c r="A79" s="29" t="s">
        <v>107</v>
      </c>
      <c r="B79" s="29">
        <v>25.55</v>
      </c>
      <c r="C79" s="29">
        <v>0</v>
      </c>
      <c r="D79" s="29">
        <v>0</v>
      </c>
      <c r="E79" s="96">
        <v>45165</v>
      </c>
    </row>
    <row r="80" spans="1:5" ht="24" customHeight="1" x14ac:dyDescent="0.3">
      <c r="A80" s="29" t="s">
        <v>109</v>
      </c>
      <c r="B80" s="29">
        <v>110</v>
      </c>
      <c r="C80" s="29">
        <v>0</v>
      </c>
      <c r="D80" s="29">
        <v>0</v>
      </c>
      <c r="E80" s="96">
        <v>45166</v>
      </c>
    </row>
    <row r="81" spans="1:5" ht="24" customHeight="1" x14ac:dyDescent="0.3">
      <c r="A81" s="29" t="s">
        <v>85</v>
      </c>
      <c r="B81" s="29">
        <v>398</v>
      </c>
      <c r="C81" s="29">
        <v>0</v>
      </c>
      <c r="D81" s="29">
        <v>0</v>
      </c>
      <c r="E81" s="96">
        <v>45167</v>
      </c>
    </row>
    <row r="82" spans="1:5" ht="24" customHeight="1" x14ac:dyDescent="0.3">
      <c r="A82" s="29" t="s">
        <v>107</v>
      </c>
      <c r="B82" s="29">
        <v>5</v>
      </c>
      <c r="C82" s="29">
        <v>0</v>
      </c>
      <c r="D82" s="29">
        <v>0</v>
      </c>
      <c r="E82" s="96">
        <v>45168</v>
      </c>
    </row>
    <row r="83" spans="1:5" ht="24" customHeight="1" x14ac:dyDescent="0.3">
      <c r="A83" s="29" t="s">
        <v>109</v>
      </c>
      <c r="B83" s="29">
        <v>14.1</v>
      </c>
      <c r="C83" s="29">
        <v>0</v>
      </c>
      <c r="D83" s="29">
        <v>0</v>
      </c>
      <c r="E83" s="96">
        <v>45178</v>
      </c>
    </row>
    <row r="84" spans="1:5" ht="24" customHeight="1" x14ac:dyDescent="0.3">
      <c r="A84" s="29" t="s">
        <v>85</v>
      </c>
      <c r="B84" s="29">
        <v>398</v>
      </c>
      <c r="C84" s="29">
        <v>0</v>
      </c>
      <c r="D84" s="29">
        <v>0</v>
      </c>
      <c r="E84" s="96">
        <v>45181</v>
      </c>
    </row>
    <row r="85" spans="1:5" ht="24" customHeight="1" x14ac:dyDescent="0.3">
      <c r="A85" s="29" t="s">
        <v>107</v>
      </c>
      <c r="B85" s="29">
        <v>12</v>
      </c>
      <c r="C85" s="29">
        <v>0</v>
      </c>
      <c r="D85" s="29">
        <v>0</v>
      </c>
      <c r="E85" s="96">
        <v>45181</v>
      </c>
    </row>
    <row r="86" spans="1:5" ht="24" customHeight="1" x14ac:dyDescent="0.3">
      <c r="A86" s="29" t="s">
        <v>107</v>
      </c>
      <c r="B86" s="29">
        <v>53.1</v>
      </c>
      <c r="C86" s="29">
        <v>0</v>
      </c>
      <c r="D86" s="29">
        <v>0</v>
      </c>
      <c r="E86" s="96">
        <v>45182</v>
      </c>
    </row>
    <row r="87" spans="1:5" ht="24" customHeight="1" x14ac:dyDescent="0.3">
      <c r="A87" s="29" t="s">
        <v>107</v>
      </c>
      <c r="B87" s="29">
        <v>10</v>
      </c>
      <c r="C87" s="29">
        <v>0</v>
      </c>
      <c r="D87" s="29">
        <v>0</v>
      </c>
      <c r="E87" s="96">
        <v>45184</v>
      </c>
    </row>
    <row r="88" spans="1:5" ht="24" customHeight="1" x14ac:dyDescent="0.3">
      <c r="A88" s="29" t="s">
        <v>85</v>
      </c>
      <c r="B88" s="29">
        <v>398</v>
      </c>
      <c r="C88" s="29">
        <v>0</v>
      </c>
      <c r="D88" s="29">
        <v>0</v>
      </c>
      <c r="E88" s="96">
        <v>45195</v>
      </c>
    </row>
    <row r="89" spans="1:5" ht="24" customHeight="1" x14ac:dyDescent="0.3">
      <c r="A89" s="29" t="s">
        <v>85</v>
      </c>
      <c r="B89" s="29">
        <v>398</v>
      </c>
      <c r="C89" s="29">
        <v>0</v>
      </c>
      <c r="D89" s="29">
        <v>0</v>
      </c>
      <c r="E89" s="96">
        <v>45209</v>
      </c>
    </row>
    <row r="90" spans="1:5" ht="24" customHeight="1" x14ac:dyDescent="0.3">
      <c r="A90" s="29" t="s">
        <v>109</v>
      </c>
      <c r="B90" s="29">
        <v>10.75</v>
      </c>
      <c r="C90" s="29">
        <v>0</v>
      </c>
      <c r="D90" s="29">
        <v>0</v>
      </c>
      <c r="E90" s="96">
        <v>45212</v>
      </c>
    </row>
    <row r="91" spans="1:5" ht="24" customHeight="1" x14ac:dyDescent="0.3">
      <c r="A91" s="29" t="s">
        <v>107</v>
      </c>
      <c r="B91" s="29">
        <v>53.1</v>
      </c>
      <c r="C91" s="29">
        <v>0</v>
      </c>
      <c r="D91" s="29">
        <v>0</v>
      </c>
      <c r="E91" s="96">
        <v>45213</v>
      </c>
    </row>
    <row r="92" spans="1:5" ht="24" customHeight="1" x14ac:dyDescent="0.3">
      <c r="A92" s="29" t="s">
        <v>107</v>
      </c>
      <c r="B92" s="29">
        <v>50</v>
      </c>
      <c r="C92" s="29">
        <v>0</v>
      </c>
      <c r="D92" s="29">
        <v>0</v>
      </c>
      <c r="E92" s="96">
        <v>45215</v>
      </c>
    </row>
    <row r="93" spans="1:5" ht="24" customHeight="1" x14ac:dyDescent="0.3">
      <c r="A93" s="29" t="s">
        <v>109</v>
      </c>
      <c r="B93" s="29">
        <v>55.6</v>
      </c>
      <c r="C93" s="29">
        <v>0</v>
      </c>
      <c r="D93" s="29">
        <v>0</v>
      </c>
      <c r="E93" s="96">
        <v>45219</v>
      </c>
    </row>
    <row r="94" spans="1:5" ht="24" customHeight="1" x14ac:dyDescent="0.3">
      <c r="A94" s="29" t="s">
        <v>85</v>
      </c>
      <c r="B94" s="29">
        <v>398</v>
      </c>
      <c r="C94" s="29">
        <v>0</v>
      </c>
      <c r="D94" s="29">
        <v>0</v>
      </c>
      <c r="E94" s="96">
        <v>45223</v>
      </c>
    </row>
    <row r="95" spans="1:5" ht="24" customHeight="1" x14ac:dyDescent="0.3">
      <c r="A95" s="29" t="s">
        <v>109</v>
      </c>
      <c r="B95" s="29">
        <v>29</v>
      </c>
      <c r="C95" s="29">
        <v>0</v>
      </c>
      <c r="D95" s="29">
        <v>0</v>
      </c>
      <c r="E95" s="96">
        <v>45229</v>
      </c>
    </row>
    <row r="96" spans="1:5" ht="24" customHeight="1" x14ac:dyDescent="0.3">
      <c r="A96" s="29" t="s">
        <v>109</v>
      </c>
      <c r="B96" s="29">
        <v>11</v>
      </c>
      <c r="C96" s="29">
        <v>0</v>
      </c>
      <c r="D96" s="29">
        <v>0</v>
      </c>
      <c r="E96" s="96">
        <v>45230</v>
      </c>
    </row>
    <row r="97" spans="1:5" ht="24" customHeight="1" x14ac:dyDescent="0.3">
      <c r="A97" s="29" t="s">
        <v>109</v>
      </c>
      <c r="B97" s="29">
        <v>26</v>
      </c>
      <c r="C97" s="29">
        <v>0</v>
      </c>
      <c r="D97" s="29">
        <v>0</v>
      </c>
      <c r="E97" s="96">
        <v>45232</v>
      </c>
    </row>
    <row r="98" spans="1:5" ht="24" customHeight="1" x14ac:dyDescent="0.3">
      <c r="A98" s="29" t="s">
        <v>109</v>
      </c>
      <c r="B98" s="29">
        <v>100</v>
      </c>
      <c r="C98" s="29">
        <v>0</v>
      </c>
      <c r="D98" s="29">
        <v>0</v>
      </c>
      <c r="E98" s="96">
        <v>45233</v>
      </c>
    </row>
    <row r="99" spans="1:5" ht="24" customHeight="1" x14ac:dyDescent="0.3">
      <c r="A99" s="29" t="s">
        <v>109</v>
      </c>
      <c r="B99" s="29">
        <v>6</v>
      </c>
      <c r="C99" s="29">
        <v>0</v>
      </c>
      <c r="D99" s="29">
        <v>0</v>
      </c>
      <c r="E99" s="96">
        <v>45235</v>
      </c>
    </row>
    <row r="100" spans="1:5" ht="24" customHeight="1" x14ac:dyDescent="0.3">
      <c r="A100" s="29" t="s">
        <v>109</v>
      </c>
      <c r="B100" s="29">
        <v>38</v>
      </c>
      <c r="C100" s="29">
        <v>0</v>
      </c>
      <c r="D100" s="29">
        <v>0</v>
      </c>
      <c r="E100" s="96">
        <v>45236</v>
      </c>
    </row>
    <row r="101" spans="1:5" ht="24" customHeight="1" x14ac:dyDescent="0.3">
      <c r="A101" s="29" t="s">
        <v>85</v>
      </c>
      <c r="B101" s="29">
        <v>398</v>
      </c>
      <c r="C101" s="29">
        <v>0</v>
      </c>
      <c r="D101" s="29">
        <v>0</v>
      </c>
      <c r="E101" s="96">
        <v>45237</v>
      </c>
    </row>
    <row r="102" spans="1:5" ht="24" customHeight="1" x14ac:dyDescent="0.3">
      <c r="A102" s="29" t="s">
        <v>109</v>
      </c>
      <c r="B102" s="29">
        <v>9</v>
      </c>
      <c r="C102" s="29">
        <v>0</v>
      </c>
      <c r="D102" s="29">
        <v>0</v>
      </c>
      <c r="E102" s="96">
        <v>45239</v>
      </c>
    </row>
    <row r="103" spans="1:5" ht="24" customHeight="1" x14ac:dyDescent="0.3">
      <c r="A103" s="29" t="s">
        <v>109</v>
      </c>
      <c r="B103" s="29">
        <v>0</v>
      </c>
      <c r="C103" s="29">
        <v>0</v>
      </c>
      <c r="D103" s="29">
        <v>160000</v>
      </c>
      <c r="E103" s="96">
        <v>45240</v>
      </c>
    </row>
    <row r="104" spans="1:5" ht="24" customHeight="1" x14ac:dyDescent="0.3">
      <c r="A104" s="29" t="s">
        <v>109</v>
      </c>
      <c r="B104" s="29">
        <v>1500</v>
      </c>
      <c r="C104" s="29">
        <v>0</v>
      </c>
      <c r="D104" s="29">
        <v>0</v>
      </c>
      <c r="E104" s="96">
        <v>45246</v>
      </c>
    </row>
    <row r="105" spans="1:5" ht="24" customHeight="1" x14ac:dyDescent="0.3">
      <c r="A105" s="29" t="s">
        <v>109</v>
      </c>
      <c r="B105" s="29">
        <v>560</v>
      </c>
      <c r="C105" s="29">
        <v>0</v>
      </c>
      <c r="D105" s="29">
        <v>0</v>
      </c>
      <c r="E105" s="96">
        <v>45255</v>
      </c>
    </row>
    <row r="106" spans="1:5" ht="24" customHeight="1" x14ac:dyDescent="0.3">
      <c r="A106" s="29" t="s">
        <v>85</v>
      </c>
      <c r="B106" s="29">
        <v>398</v>
      </c>
      <c r="C106" s="29">
        <v>0</v>
      </c>
      <c r="D106" s="29">
        <v>0</v>
      </c>
      <c r="E106" s="96">
        <v>45264</v>
      </c>
    </row>
    <row r="107" spans="1:5" ht="24" customHeight="1" x14ac:dyDescent="0.3">
      <c r="A107" s="29" t="s">
        <v>109</v>
      </c>
      <c r="B107" s="29">
        <v>300</v>
      </c>
      <c r="C107" s="29">
        <v>0</v>
      </c>
      <c r="D107" s="29">
        <v>0</v>
      </c>
      <c r="E107" s="96">
        <v>45273</v>
      </c>
    </row>
    <row r="108" spans="1:5" ht="24" customHeight="1" x14ac:dyDescent="0.3">
      <c r="A108" s="29" t="s">
        <v>109</v>
      </c>
      <c r="B108" s="29">
        <v>200</v>
      </c>
      <c r="C108" s="29">
        <v>0</v>
      </c>
      <c r="D108" s="29">
        <v>0</v>
      </c>
      <c r="E108" s="96">
        <v>45291</v>
      </c>
    </row>
    <row r="109" spans="1:5" ht="24" customHeight="1" x14ac:dyDescent="0.3">
      <c r="A109" s="29" t="s">
        <v>85</v>
      </c>
      <c r="B109" s="29">
        <v>398</v>
      </c>
      <c r="C109" s="29">
        <v>0</v>
      </c>
      <c r="D109" s="29">
        <v>0</v>
      </c>
      <c r="E109" s="96">
        <v>45291</v>
      </c>
    </row>
    <row r="110" spans="1:5" ht="24" customHeight="1" x14ac:dyDescent="0.3">
      <c r="A110" s="29" t="s">
        <v>85</v>
      </c>
      <c r="B110" s="29">
        <v>1200</v>
      </c>
      <c r="C110" s="29">
        <v>0</v>
      </c>
      <c r="D110" s="29">
        <v>0</v>
      </c>
      <c r="E110" s="96">
        <v>45335</v>
      </c>
    </row>
    <row r="111" spans="1:5" ht="24" customHeight="1" x14ac:dyDescent="0.3">
      <c r="A111" s="29" t="s">
        <v>109</v>
      </c>
      <c r="B111" s="29">
        <v>1100</v>
      </c>
      <c r="C111" s="29">
        <v>0</v>
      </c>
      <c r="D111" s="29">
        <v>0</v>
      </c>
      <c r="E111" s="96">
        <v>45337</v>
      </c>
    </row>
    <row r="112" spans="1:5" ht="24" customHeight="1" x14ac:dyDescent="0.3">
      <c r="A112" s="29" t="s">
        <v>89</v>
      </c>
      <c r="B112" s="29">
        <v>576</v>
      </c>
      <c r="C112" s="29">
        <v>0</v>
      </c>
      <c r="D112" s="29">
        <v>0</v>
      </c>
      <c r="E112" s="96">
        <v>45425</v>
      </c>
    </row>
    <row r="113" spans="1:6" ht="24" customHeight="1" x14ac:dyDescent="0.3">
      <c r="A113" s="29" t="s">
        <v>85</v>
      </c>
      <c r="B113" s="29">
        <v>4400</v>
      </c>
      <c r="C113" s="29">
        <v>0</v>
      </c>
      <c r="D113" s="29">
        <v>0</v>
      </c>
      <c r="E113" s="96">
        <v>45427</v>
      </c>
    </row>
    <row r="114" spans="1:6" ht="24" customHeight="1" x14ac:dyDescent="0.3">
      <c r="A114" s="29" t="s">
        <v>109</v>
      </c>
      <c r="B114" s="29">
        <v>353</v>
      </c>
      <c r="C114" s="29">
        <v>0</v>
      </c>
      <c r="D114" s="29">
        <v>0</v>
      </c>
      <c r="E114" s="96">
        <v>45430</v>
      </c>
    </row>
    <row r="115" spans="1:6" ht="24" customHeight="1" x14ac:dyDescent="0.3">
      <c r="A115" s="29" t="s">
        <v>89</v>
      </c>
      <c r="B115" s="29">
        <v>115</v>
      </c>
      <c r="C115" s="29">
        <v>0</v>
      </c>
      <c r="D115" s="29">
        <v>0</v>
      </c>
      <c r="E115" s="96">
        <v>45456</v>
      </c>
    </row>
    <row r="116" spans="1:6" ht="24" customHeight="1" x14ac:dyDescent="0.3">
      <c r="A116" s="29" t="s">
        <v>85</v>
      </c>
      <c r="B116" s="29">
        <v>1045</v>
      </c>
      <c r="C116" s="29">
        <v>0</v>
      </c>
      <c r="D116" s="29">
        <v>0</v>
      </c>
      <c r="E116" s="96">
        <v>45458</v>
      </c>
    </row>
    <row r="117" spans="1:6" ht="24" customHeight="1" x14ac:dyDescent="0.3">
      <c r="A117" s="29" t="s">
        <v>109</v>
      </c>
      <c r="B117" s="29">
        <v>120</v>
      </c>
      <c r="C117" s="29">
        <v>0</v>
      </c>
      <c r="D117" s="29">
        <v>0</v>
      </c>
      <c r="E117" s="123">
        <v>45465</v>
      </c>
    </row>
    <row r="118" spans="1:6" ht="24" customHeight="1" x14ac:dyDescent="0.3">
      <c r="A118" s="29" t="s">
        <v>107</v>
      </c>
      <c r="B118" s="29">
        <v>120</v>
      </c>
      <c r="C118" s="29">
        <v>0</v>
      </c>
      <c r="D118" s="29">
        <v>0</v>
      </c>
      <c r="E118" s="96">
        <v>45465</v>
      </c>
    </row>
    <row r="119" spans="1:6" ht="24" customHeight="1" x14ac:dyDescent="0.3">
      <c r="A119" s="29" t="s">
        <v>109</v>
      </c>
      <c r="B119" s="29">
        <v>54</v>
      </c>
      <c r="C119" s="29">
        <v>0</v>
      </c>
      <c r="D119" s="29">
        <v>0</v>
      </c>
      <c r="E119" s="96">
        <v>45468</v>
      </c>
    </row>
    <row r="120" spans="1:6" ht="24" customHeight="1" thickBot="1" x14ac:dyDescent="0.35">
      <c r="A120" s="29" t="s">
        <v>109</v>
      </c>
      <c r="B120" s="29">
        <v>110</v>
      </c>
      <c r="C120" s="29">
        <v>0</v>
      </c>
      <c r="D120" s="29">
        <v>0</v>
      </c>
      <c r="E120" s="96">
        <v>45471</v>
      </c>
    </row>
    <row r="121" spans="1:6" ht="24" customHeight="1" thickBot="1" x14ac:dyDescent="0.35">
      <c r="A121" s="119" t="s">
        <v>22</v>
      </c>
      <c r="B121" s="120">
        <f>SUM(B2:B120)</f>
        <v>20821.340000000004</v>
      </c>
      <c r="C121" s="120">
        <f>AVERAGE(C2:C120)</f>
        <v>13.285714285714286</v>
      </c>
      <c r="D121" s="121">
        <f>SUM(D2:D120)</f>
        <v>270912</v>
      </c>
      <c r="E121" s="122"/>
      <c r="F121" s="42"/>
    </row>
    <row r="122" spans="1:6" ht="24" customHeight="1" x14ac:dyDescent="0.3">
      <c r="B122" t="s">
        <v>50</v>
      </c>
    </row>
  </sheetData>
  <autoFilter ref="A1:E122" xr:uid="{C0FFB7D9-501C-4B1B-A791-4E5E3B2641B6}">
    <sortState xmlns:xlrd2="http://schemas.microsoft.com/office/spreadsheetml/2017/richdata2" ref="A2:E122">
      <sortCondition ref="E1:E333"/>
    </sortState>
  </autoFilter>
  <dataValidations count="3">
    <dataValidation type="list" allowBlank="1" showInputMessage="1" showErrorMessage="1" sqref="A1 A121:A1048576" xr:uid="{A3F12115-EEC1-4780-A872-8025336F1005}">
      <formula1>"Rent, Food(Dominos), Food(McD), Food(Hungry Jacks), Food(7-Eleven), Food(indian), food(others), optus, vodafone, grocery(woolworths), grocery(coles), grocery(Aldi), Grocery(indian), Shopping(Kmart), Shopping(BigW),Shopping(others), Travel, Misc."</formula1>
    </dataValidation>
    <dataValidation type="list" errorStyle="warning" allowBlank="1" showInputMessage="1" showErrorMessage="1" error="Value not in the list. Continue Anyways" sqref="A15:A103 A2:A13" xr:uid="{5FA58EF0-DFFD-4C5F-AB86-BDAEF60A791F}">
      <formula1>"Rent, Eat out, optus, vodafone, Grocery, Shopping, Loan Int.,Travel, Misc"</formula1>
    </dataValidation>
    <dataValidation type="list" errorStyle="warning" allowBlank="1" showInputMessage="1" showErrorMessage="1" error="Value not in the list. Continue Anyways" sqref="A104:A120" xr:uid="{767C1811-7E00-4175-857C-5C92AD519C15}">
      <formula1>"Rent, Food(Dominos), Food(McD), Food(Hungry Jacks), Food(7-Eleven), Food(indian), food(others), optus, vodafone, grocery(woolworths), grocery(coles), grocery(Aldi), Grocery(indian), Shopping(Kmart), Shopping(BigW),Shopping(others), Loan Int.,Travel, Misc."</formula1>
    </dataValidation>
  </dataValidation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27034-A052-4389-B269-F5429BB2EEF9}">
  <sheetPr>
    <tabColor rgb="FFD6E3B5"/>
  </sheetPr>
  <dimension ref="A1:H580"/>
  <sheetViews>
    <sheetView tabSelected="1" workbookViewId="0">
      <selection activeCell="A2" sqref="A2"/>
    </sheetView>
  </sheetViews>
  <sheetFormatPr defaultColWidth="24.77734375" defaultRowHeight="14.4" x14ac:dyDescent="0.3"/>
  <sheetData>
    <row r="1" spans="1:8" ht="21" x14ac:dyDescent="0.4">
      <c r="A1" s="98" t="s">
        <v>0</v>
      </c>
      <c r="B1" s="98" t="s">
        <v>115</v>
      </c>
      <c r="C1" s="98" t="s">
        <v>48</v>
      </c>
      <c r="D1" s="98" t="s">
        <v>49</v>
      </c>
      <c r="E1" s="98" t="s">
        <v>116</v>
      </c>
      <c r="F1" s="98" t="s">
        <v>117</v>
      </c>
      <c r="G1" s="99" t="s">
        <v>118</v>
      </c>
      <c r="H1" s="99" t="s">
        <v>119</v>
      </c>
    </row>
    <row r="2" spans="1:8" ht="21" x14ac:dyDescent="0.4">
      <c r="A2" s="100" t="s">
        <v>120</v>
      </c>
      <c r="B2" s="100">
        <v>0</v>
      </c>
      <c r="C2" s="101">
        <v>44970</v>
      </c>
      <c r="D2" s="100">
        <v>2023</v>
      </c>
      <c r="E2" s="102">
        <v>15</v>
      </c>
      <c r="F2" s="102">
        <f>E2-B2</f>
        <v>15</v>
      </c>
      <c r="G2" s="103">
        <v>15</v>
      </c>
      <c r="H2" s="103">
        <f>G2/15</f>
        <v>1</v>
      </c>
    </row>
    <row r="3" spans="1:8" ht="21" x14ac:dyDescent="0.4">
      <c r="A3" s="100" t="s">
        <v>14</v>
      </c>
      <c r="B3" s="100">
        <v>10.7</v>
      </c>
      <c r="C3" s="101">
        <v>44970</v>
      </c>
      <c r="D3" s="100">
        <v>2023</v>
      </c>
      <c r="E3" s="104">
        <f>IF(C3=C2,F2,F2+15)</f>
        <v>15</v>
      </c>
      <c r="F3" s="102">
        <f t="shared" ref="F3:F66" si="0">E3-B3</f>
        <v>4.3000000000000007</v>
      </c>
      <c r="G3" s="103">
        <f>IF(C3&lt;&gt;C2, 15+G2,G2)</f>
        <v>15</v>
      </c>
      <c r="H3" s="103">
        <f t="shared" ref="H3:H66" si="1">G3/15</f>
        <v>1</v>
      </c>
    </row>
    <row r="4" spans="1:8" ht="21" x14ac:dyDescent="0.4">
      <c r="A4" s="100" t="s">
        <v>14</v>
      </c>
      <c r="B4" s="100">
        <v>4.75</v>
      </c>
      <c r="C4" s="101">
        <v>44970</v>
      </c>
      <c r="D4" s="100">
        <v>2023</v>
      </c>
      <c r="E4" s="104">
        <f t="shared" ref="E4:E67" si="2">IF(C4=C3,F3,F3+15)</f>
        <v>4.3000000000000007</v>
      </c>
      <c r="F4" s="102">
        <f t="shared" si="0"/>
        <v>-0.44999999999999929</v>
      </c>
      <c r="G4" s="103">
        <f t="shared" ref="G4:G67" si="3">IF(C4&lt;&gt;C3, 15+G3,G3)</f>
        <v>15</v>
      </c>
      <c r="H4" s="103">
        <f t="shared" si="1"/>
        <v>1</v>
      </c>
    </row>
    <row r="5" spans="1:8" ht="21" x14ac:dyDescent="0.4">
      <c r="A5" s="100" t="s">
        <v>14</v>
      </c>
      <c r="B5" s="100">
        <v>3</v>
      </c>
      <c r="C5" s="101">
        <v>44970</v>
      </c>
      <c r="D5" s="100">
        <v>2023</v>
      </c>
      <c r="E5" s="104">
        <f t="shared" si="2"/>
        <v>-0.44999999999999929</v>
      </c>
      <c r="F5" s="102">
        <f t="shared" si="0"/>
        <v>-3.4499999999999993</v>
      </c>
      <c r="G5" s="103">
        <f t="shared" si="3"/>
        <v>15</v>
      </c>
      <c r="H5" s="103">
        <f t="shared" si="1"/>
        <v>1</v>
      </c>
    </row>
    <row r="6" spans="1:8" ht="21" x14ac:dyDescent="0.4">
      <c r="A6" s="100" t="s">
        <v>106</v>
      </c>
      <c r="B6" s="100">
        <v>6</v>
      </c>
      <c r="C6" s="101">
        <v>44971</v>
      </c>
      <c r="D6" s="100">
        <v>2023</v>
      </c>
      <c r="E6" s="104">
        <f t="shared" si="2"/>
        <v>11.55</v>
      </c>
      <c r="F6" s="102">
        <f t="shared" si="0"/>
        <v>5.5500000000000007</v>
      </c>
      <c r="G6" s="103">
        <f t="shared" si="3"/>
        <v>30</v>
      </c>
      <c r="H6" s="103">
        <f t="shared" si="1"/>
        <v>2</v>
      </c>
    </row>
    <row r="7" spans="1:8" ht="21" x14ac:dyDescent="0.4">
      <c r="A7" s="100" t="s">
        <v>14</v>
      </c>
      <c r="B7" s="100">
        <v>13.625</v>
      </c>
      <c r="C7" s="101">
        <v>44971</v>
      </c>
      <c r="D7" s="100">
        <v>2023</v>
      </c>
      <c r="E7" s="104">
        <f t="shared" si="2"/>
        <v>5.5500000000000007</v>
      </c>
      <c r="F7" s="102">
        <f t="shared" si="0"/>
        <v>-8.0749999999999993</v>
      </c>
      <c r="G7" s="103">
        <f t="shared" si="3"/>
        <v>30</v>
      </c>
      <c r="H7" s="103">
        <f t="shared" si="1"/>
        <v>2</v>
      </c>
    </row>
    <row r="8" spans="1:8" ht="21" x14ac:dyDescent="0.4">
      <c r="A8" s="100" t="s">
        <v>106</v>
      </c>
      <c r="B8" s="100">
        <v>6</v>
      </c>
      <c r="C8" s="101">
        <v>44972</v>
      </c>
      <c r="D8" s="100">
        <v>2023</v>
      </c>
      <c r="E8" s="104">
        <f t="shared" si="2"/>
        <v>6.9250000000000007</v>
      </c>
      <c r="F8" s="102">
        <f t="shared" si="0"/>
        <v>0.92500000000000071</v>
      </c>
      <c r="G8" s="103">
        <f t="shared" si="3"/>
        <v>45</v>
      </c>
      <c r="H8" s="103">
        <f t="shared" si="1"/>
        <v>3</v>
      </c>
    </row>
    <row r="9" spans="1:8" ht="21" x14ac:dyDescent="0.4">
      <c r="A9" s="100" t="s">
        <v>14</v>
      </c>
      <c r="B9" s="100">
        <v>31.2</v>
      </c>
      <c r="C9" s="101">
        <v>44972</v>
      </c>
      <c r="D9" s="100">
        <v>2023</v>
      </c>
      <c r="E9" s="104">
        <f t="shared" si="2"/>
        <v>0.92500000000000071</v>
      </c>
      <c r="F9" s="102">
        <f t="shared" si="0"/>
        <v>-30.274999999999999</v>
      </c>
      <c r="G9" s="103">
        <f t="shared" si="3"/>
        <v>45</v>
      </c>
      <c r="H9" s="103">
        <f t="shared" si="1"/>
        <v>3</v>
      </c>
    </row>
    <row r="10" spans="1:8" ht="21" x14ac:dyDescent="0.4">
      <c r="A10" s="100" t="s">
        <v>106</v>
      </c>
      <c r="B10" s="100">
        <v>1.5</v>
      </c>
      <c r="C10" s="101">
        <v>44973</v>
      </c>
      <c r="D10" s="100">
        <v>2023</v>
      </c>
      <c r="E10" s="104">
        <f t="shared" si="2"/>
        <v>-15.274999999999999</v>
      </c>
      <c r="F10" s="102">
        <f t="shared" si="0"/>
        <v>-16.774999999999999</v>
      </c>
      <c r="G10" s="103">
        <f t="shared" si="3"/>
        <v>60</v>
      </c>
      <c r="H10" s="103">
        <f t="shared" si="1"/>
        <v>4</v>
      </c>
    </row>
    <row r="11" spans="1:8" ht="21" x14ac:dyDescent="0.4">
      <c r="A11" s="100" t="s">
        <v>14</v>
      </c>
      <c r="B11" s="100">
        <v>5.05</v>
      </c>
      <c r="C11" s="101">
        <v>44973</v>
      </c>
      <c r="D11" s="100">
        <v>2023</v>
      </c>
      <c r="E11" s="104">
        <f t="shared" si="2"/>
        <v>-16.774999999999999</v>
      </c>
      <c r="F11" s="102">
        <f t="shared" si="0"/>
        <v>-21.824999999999999</v>
      </c>
      <c r="G11" s="103">
        <f>IF(C11&lt;&gt;C10, 15+G10,G10)</f>
        <v>60</v>
      </c>
      <c r="H11" s="103">
        <f t="shared" si="1"/>
        <v>4</v>
      </c>
    </row>
    <row r="12" spans="1:8" ht="21" x14ac:dyDescent="0.4">
      <c r="A12" s="100" t="s">
        <v>106</v>
      </c>
      <c r="B12" s="100">
        <v>6</v>
      </c>
      <c r="C12" s="101">
        <v>44974</v>
      </c>
      <c r="D12" s="100">
        <v>2023</v>
      </c>
      <c r="E12" s="104">
        <f t="shared" si="2"/>
        <v>-6.8249999999999993</v>
      </c>
      <c r="F12" s="102">
        <f t="shared" si="0"/>
        <v>-12.824999999999999</v>
      </c>
      <c r="G12" s="103">
        <f t="shared" si="3"/>
        <v>75</v>
      </c>
      <c r="H12" s="103">
        <f t="shared" si="1"/>
        <v>5</v>
      </c>
    </row>
    <row r="13" spans="1:8" ht="21" x14ac:dyDescent="0.4">
      <c r="A13" s="100" t="s">
        <v>14</v>
      </c>
      <c r="B13" s="100">
        <v>3.3</v>
      </c>
      <c r="C13" s="101">
        <v>44974</v>
      </c>
      <c r="D13" s="100">
        <v>2023</v>
      </c>
      <c r="E13" s="104">
        <f t="shared" si="2"/>
        <v>-12.824999999999999</v>
      </c>
      <c r="F13" s="102">
        <f t="shared" si="0"/>
        <v>-16.125</v>
      </c>
      <c r="G13" s="103">
        <f t="shared" si="3"/>
        <v>75</v>
      </c>
      <c r="H13" s="103">
        <f t="shared" si="1"/>
        <v>5</v>
      </c>
    </row>
    <row r="14" spans="1:8" ht="21" x14ac:dyDescent="0.4">
      <c r="A14" s="100" t="s">
        <v>106</v>
      </c>
      <c r="B14" s="100">
        <v>1.5</v>
      </c>
      <c r="C14" s="101">
        <v>44975</v>
      </c>
      <c r="D14" s="100">
        <v>2023</v>
      </c>
      <c r="E14" s="104">
        <f t="shared" si="2"/>
        <v>-1.125</v>
      </c>
      <c r="F14" s="102">
        <f t="shared" si="0"/>
        <v>-2.625</v>
      </c>
      <c r="G14" s="103">
        <f t="shared" si="3"/>
        <v>90</v>
      </c>
      <c r="H14" s="103">
        <f t="shared" si="1"/>
        <v>6</v>
      </c>
    </row>
    <row r="15" spans="1:8" ht="21" x14ac:dyDescent="0.4">
      <c r="A15" s="100" t="s">
        <v>106</v>
      </c>
      <c r="B15" s="100">
        <v>2</v>
      </c>
      <c r="C15" s="101">
        <v>44976</v>
      </c>
      <c r="D15" s="100">
        <v>2023</v>
      </c>
      <c r="E15" s="104">
        <f t="shared" si="2"/>
        <v>12.375</v>
      </c>
      <c r="F15" s="102">
        <f t="shared" si="0"/>
        <v>10.375</v>
      </c>
      <c r="G15" s="103">
        <f t="shared" si="3"/>
        <v>105</v>
      </c>
      <c r="H15" s="103">
        <f t="shared" si="1"/>
        <v>7</v>
      </c>
    </row>
    <row r="16" spans="1:8" ht="21" x14ac:dyDescent="0.4">
      <c r="A16" s="100" t="s">
        <v>106</v>
      </c>
      <c r="B16" s="100">
        <v>25.75</v>
      </c>
      <c r="C16" s="101">
        <v>44976</v>
      </c>
      <c r="D16" s="100">
        <v>2023</v>
      </c>
      <c r="E16" s="104">
        <f t="shared" si="2"/>
        <v>10.375</v>
      </c>
      <c r="F16" s="102">
        <f t="shared" si="0"/>
        <v>-15.375</v>
      </c>
      <c r="G16" s="103">
        <f t="shared" si="3"/>
        <v>105</v>
      </c>
      <c r="H16" s="103">
        <f t="shared" si="1"/>
        <v>7</v>
      </c>
    </row>
    <row r="17" spans="1:8" ht="21" x14ac:dyDescent="0.4">
      <c r="A17" s="100" t="s">
        <v>106</v>
      </c>
      <c r="B17" s="100">
        <v>6</v>
      </c>
      <c r="C17" s="101">
        <v>44977</v>
      </c>
      <c r="D17" s="100">
        <v>2023</v>
      </c>
      <c r="E17" s="104">
        <f t="shared" si="2"/>
        <v>-0.375</v>
      </c>
      <c r="F17" s="102">
        <f t="shared" si="0"/>
        <v>-6.375</v>
      </c>
      <c r="G17" s="103">
        <f t="shared" si="3"/>
        <v>120</v>
      </c>
      <c r="H17" s="103">
        <f t="shared" si="1"/>
        <v>8</v>
      </c>
    </row>
    <row r="18" spans="1:8" ht="21" x14ac:dyDescent="0.4">
      <c r="A18" s="100" t="s">
        <v>106</v>
      </c>
      <c r="B18" s="100">
        <v>1</v>
      </c>
      <c r="C18" s="101">
        <v>44977</v>
      </c>
      <c r="D18" s="100">
        <v>2023</v>
      </c>
      <c r="E18" s="104">
        <f t="shared" si="2"/>
        <v>-6.375</v>
      </c>
      <c r="F18" s="102">
        <f t="shared" si="0"/>
        <v>-7.375</v>
      </c>
      <c r="G18" s="103">
        <f t="shared" si="3"/>
        <v>120</v>
      </c>
      <c r="H18" s="103">
        <f t="shared" si="1"/>
        <v>8</v>
      </c>
    </row>
    <row r="19" spans="1:8" ht="21" x14ac:dyDescent="0.4">
      <c r="A19" s="100" t="s">
        <v>106</v>
      </c>
      <c r="B19" s="100">
        <v>3</v>
      </c>
      <c r="C19" s="101">
        <v>44978</v>
      </c>
      <c r="D19" s="100">
        <v>2023</v>
      </c>
      <c r="E19" s="104">
        <f t="shared" si="2"/>
        <v>7.625</v>
      </c>
      <c r="F19" s="102">
        <f t="shared" si="0"/>
        <v>4.625</v>
      </c>
      <c r="G19" s="103">
        <f t="shared" si="3"/>
        <v>135</v>
      </c>
      <c r="H19" s="103">
        <f t="shared" si="1"/>
        <v>9</v>
      </c>
    </row>
    <row r="20" spans="1:8" ht="21" x14ac:dyDescent="0.4">
      <c r="A20" s="100" t="s">
        <v>106</v>
      </c>
      <c r="B20" s="100">
        <v>6</v>
      </c>
      <c r="C20" s="101">
        <v>44979</v>
      </c>
      <c r="D20" s="100">
        <v>2023</v>
      </c>
      <c r="E20" s="104">
        <f t="shared" si="2"/>
        <v>19.625</v>
      </c>
      <c r="F20" s="102">
        <f t="shared" si="0"/>
        <v>13.625</v>
      </c>
      <c r="G20" s="103">
        <f t="shared" si="3"/>
        <v>150</v>
      </c>
      <c r="H20" s="103">
        <f t="shared" si="1"/>
        <v>10</v>
      </c>
    </row>
    <row r="21" spans="1:8" ht="21" x14ac:dyDescent="0.4">
      <c r="A21" s="100" t="s">
        <v>14</v>
      </c>
      <c r="B21" s="100">
        <v>1.8</v>
      </c>
      <c r="C21" s="101">
        <v>44979</v>
      </c>
      <c r="D21" s="100">
        <v>2023</v>
      </c>
      <c r="E21" s="104">
        <f t="shared" si="2"/>
        <v>13.625</v>
      </c>
      <c r="F21" s="102">
        <f t="shared" si="0"/>
        <v>11.824999999999999</v>
      </c>
      <c r="G21" s="103">
        <f t="shared" si="3"/>
        <v>150</v>
      </c>
      <c r="H21" s="103">
        <f t="shared" si="1"/>
        <v>10</v>
      </c>
    </row>
    <row r="22" spans="1:8" ht="21" x14ac:dyDescent="0.4">
      <c r="A22" s="100" t="s">
        <v>106</v>
      </c>
      <c r="B22" s="100">
        <v>1</v>
      </c>
      <c r="C22" s="101">
        <v>44980</v>
      </c>
      <c r="D22" s="100">
        <v>2023</v>
      </c>
      <c r="E22" s="104">
        <f t="shared" si="2"/>
        <v>26.824999999999999</v>
      </c>
      <c r="F22" s="102">
        <f t="shared" si="0"/>
        <v>25.824999999999999</v>
      </c>
      <c r="G22" s="103">
        <f t="shared" si="3"/>
        <v>165</v>
      </c>
      <c r="H22" s="103">
        <f t="shared" si="1"/>
        <v>11</v>
      </c>
    </row>
    <row r="23" spans="1:8" ht="21" x14ac:dyDescent="0.4">
      <c r="A23" s="100" t="s">
        <v>106</v>
      </c>
      <c r="B23" s="100">
        <v>4.5</v>
      </c>
      <c r="C23" s="101">
        <v>44980</v>
      </c>
      <c r="D23" s="100">
        <v>2023</v>
      </c>
      <c r="E23" s="104">
        <f t="shared" si="2"/>
        <v>25.824999999999999</v>
      </c>
      <c r="F23" s="102">
        <f t="shared" si="0"/>
        <v>21.324999999999999</v>
      </c>
      <c r="G23" s="103">
        <f t="shared" si="3"/>
        <v>165</v>
      </c>
      <c r="H23" s="103">
        <f t="shared" si="1"/>
        <v>11</v>
      </c>
    </row>
    <row r="24" spans="1:8" ht="21" x14ac:dyDescent="0.4">
      <c r="A24" s="100" t="s">
        <v>106</v>
      </c>
      <c r="B24" s="100">
        <v>4.5</v>
      </c>
      <c r="C24" s="101">
        <v>44981</v>
      </c>
      <c r="D24" s="100">
        <v>2023</v>
      </c>
      <c r="E24" s="104">
        <f t="shared" si="2"/>
        <v>36.325000000000003</v>
      </c>
      <c r="F24" s="102">
        <f t="shared" si="0"/>
        <v>31.825000000000003</v>
      </c>
      <c r="G24" s="103">
        <f t="shared" si="3"/>
        <v>180</v>
      </c>
      <c r="H24" s="103">
        <f t="shared" si="1"/>
        <v>12</v>
      </c>
    </row>
    <row r="25" spans="1:8" ht="21" x14ac:dyDescent="0.4">
      <c r="A25" s="100" t="s">
        <v>106</v>
      </c>
      <c r="B25" s="100">
        <v>1</v>
      </c>
      <c r="C25" s="101">
        <v>44981</v>
      </c>
      <c r="D25" s="100">
        <v>2023</v>
      </c>
      <c r="E25" s="104">
        <f t="shared" si="2"/>
        <v>31.825000000000003</v>
      </c>
      <c r="F25" s="102">
        <f t="shared" si="0"/>
        <v>30.825000000000003</v>
      </c>
      <c r="G25" s="103">
        <f t="shared" si="3"/>
        <v>180</v>
      </c>
      <c r="H25" s="103">
        <f t="shared" si="1"/>
        <v>12</v>
      </c>
    </row>
    <row r="26" spans="1:8" ht="21" x14ac:dyDescent="0.4">
      <c r="A26" s="100" t="s">
        <v>14</v>
      </c>
      <c r="B26" s="100">
        <v>0.9</v>
      </c>
      <c r="C26" s="101">
        <v>44981</v>
      </c>
      <c r="D26" s="100">
        <v>2023</v>
      </c>
      <c r="E26" s="104">
        <f t="shared" si="2"/>
        <v>30.825000000000003</v>
      </c>
      <c r="F26" s="102">
        <f t="shared" si="0"/>
        <v>29.925000000000004</v>
      </c>
      <c r="G26" s="103">
        <f t="shared" si="3"/>
        <v>180</v>
      </c>
      <c r="H26" s="103">
        <f t="shared" si="1"/>
        <v>12</v>
      </c>
    </row>
    <row r="27" spans="1:8" ht="21" x14ac:dyDescent="0.4">
      <c r="A27" s="100" t="s">
        <v>106</v>
      </c>
      <c r="B27" s="100">
        <v>1.5</v>
      </c>
      <c r="C27" s="101">
        <v>44982</v>
      </c>
      <c r="D27" s="100">
        <v>2023</v>
      </c>
      <c r="E27" s="104">
        <f t="shared" si="2"/>
        <v>44.925000000000004</v>
      </c>
      <c r="F27" s="102">
        <f t="shared" si="0"/>
        <v>43.425000000000004</v>
      </c>
      <c r="G27" s="103">
        <f t="shared" si="3"/>
        <v>195</v>
      </c>
      <c r="H27" s="103">
        <f t="shared" si="1"/>
        <v>13</v>
      </c>
    </row>
    <row r="28" spans="1:8" ht="21" x14ac:dyDescent="0.4">
      <c r="A28" s="100" t="s">
        <v>106</v>
      </c>
      <c r="B28" s="100">
        <v>1</v>
      </c>
      <c r="C28" s="101">
        <v>44982</v>
      </c>
      <c r="D28" s="100">
        <v>2023</v>
      </c>
      <c r="E28" s="104">
        <f t="shared" si="2"/>
        <v>43.425000000000004</v>
      </c>
      <c r="F28" s="102">
        <f t="shared" si="0"/>
        <v>42.425000000000004</v>
      </c>
      <c r="G28" s="103">
        <f t="shared" si="3"/>
        <v>195</v>
      </c>
      <c r="H28" s="103">
        <f t="shared" si="1"/>
        <v>13</v>
      </c>
    </row>
    <row r="29" spans="1:8" ht="21" x14ac:dyDescent="0.4">
      <c r="A29" s="100" t="s">
        <v>106</v>
      </c>
      <c r="B29" s="100">
        <v>25.7</v>
      </c>
      <c r="C29" s="101">
        <v>44982</v>
      </c>
      <c r="D29" s="100">
        <v>2023</v>
      </c>
      <c r="E29" s="104">
        <f t="shared" si="2"/>
        <v>42.425000000000004</v>
      </c>
      <c r="F29" s="102">
        <f t="shared" si="0"/>
        <v>16.725000000000005</v>
      </c>
      <c r="G29" s="103">
        <f t="shared" si="3"/>
        <v>195</v>
      </c>
      <c r="H29" s="103">
        <f t="shared" si="1"/>
        <v>13</v>
      </c>
    </row>
    <row r="30" spans="1:8" ht="21" x14ac:dyDescent="0.4">
      <c r="A30" s="100" t="s">
        <v>106</v>
      </c>
      <c r="B30" s="100">
        <v>6</v>
      </c>
      <c r="C30" s="101">
        <v>44983</v>
      </c>
      <c r="D30" s="100">
        <v>2023</v>
      </c>
      <c r="E30" s="104">
        <f t="shared" si="2"/>
        <v>31.725000000000005</v>
      </c>
      <c r="F30" s="102">
        <f t="shared" si="0"/>
        <v>25.725000000000005</v>
      </c>
      <c r="G30" s="103">
        <f t="shared" si="3"/>
        <v>210</v>
      </c>
      <c r="H30" s="103">
        <f t="shared" si="1"/>
        <v>14</v>
      </c>
    </row>
    <row r="31" spans="1:8" ht="21" x14ac:dyDescent="0.4">
      <c r="A31" s="100" t="s">
        <v>14</v>
      </c>
      <c r="B31" s="100">
        <v>14.9</v>
      </c>
      <c r="C31" s="101">
        <v>44983</v>
      </c>
      <c r="D31" s="100">
        <v>2023</v>
      </c>
      <c r="E31" s="104">
        <f t="shared" si="2"/>
        <v>25.725000000000005</v>
      </c>
      <c r="F31" s="102">
        <f t="shared" si="0"/>
        <v>10.825000000000005</v>
      </c>
      <c r="G31" s="103">
        <f t="shared" si="3"/>
        <v>210</v>
      </c>
      <c r="H31" s="103">
        <f t="shared" si="1"/>
        <v>14</v>
      </c>
    </row>
    <row r="32" spans="1:8" ht="21" x14ac:dyDescent="0.4">
      <c r="A32" s="100" t="s">
        <v>106</v>
      </c>
      <c r="B32" s="100">
        <v>6</v>
      </c>
      <c r="C32" s="101">
        <v>44984</v>
      </c>
      <c r="D32" s="100">
        <v>2023</v>
      </c>
      <c r="E32" s="104">
        <f t="shared" si="2"/>
        <v>25.825000000000003</v>
      </c>
      <c r="F32" s="102">
        <f t="shared" si="0"/>
        <v>19.825000000000003</v>
      </c>
      <c r="G32" s="103">
        <f t="shared" si="3"/>
        <v>225</v>
      </c>
      <c r="H32" s="103">
        <f t="shared" si="1"/>
        <v>15</v>
      </c>
    </row>
    <row r="33" spans="1:8" ht="21" x14ac:dyDescent="0.4">
      <c r="A33" s="100" t="s">
        <v>106</v>
      </c>
      <c r="B33" s="100">
        <v>1</v>
      </c>
      <c r="C33" s="101">
        <v>44984</v>
      </c>
      <c r="D33" s="100">
        <v>2023</v>
      </c>
      <c r="E33" s="104">
        <f t="shared" si="2"/>
        <v>19.825000000000003</v>
      </c>
      <c r="F33" s="102">
        <f t="shared" si="0"/>
        <v>18.825000000000003</v>
      </c>
      <c r="G33" s="103">
        <f t="shared" si="3"/>
        <v>225</v>
      </c>
      <c r="H33" s="103">
        <f t="shared" si="1"/>
        <v>15</v>
      </c>
    </row>
    <row r="34" spans="1:8" ht="21" x14ac:dyDescent="0.4">
      <c r="A34" s="100" t="s">
        <v>120</v>
      </c>
      <c r="B34" s="100">
        <v>0</v>
      </c>
      <c r="C34" s="101">
        <v>44985</v>
      </c>
      <c r="D34" s="100">
        <v>2023</v>
      </c>
      <c r="E34" s="104">
        <f t="shared" si="2"/>
        <v>33.825000000000003</v>
      </c>
      <c r="F34" s="102">
        <f t="shared" si="0"/>
        <v>33.825000000000003</v>
      </c>
      <c r="G34" s="103">
        <f t="shared" si="3"/>
        <v>240</v>
      </c>
      <c r="H34" s="103">
        <f t="shared" si="1"/>
        <v>16</v>
      </c>
    </row>
    <row r="35" spans="1:8" ht="21" x14ac:dyDescent="0.4">
      <c r="A35" s="105" t="s">
        <v>106</v>
      </c>
      <c r="B35" s="105">
        <v>1</v>
      </c>
      <c r="C35" s="106">
        <v>44986</v>
      </c>
      <c r="D35" s="100">
        <v>2023</v>
      </c>
      <c r="E35" s="104">
        <f t="shared" si="2"/>
        <v>48.825000000000003</v>
      </c>
      <c r="F35" s="102">
        <f t="shared" si="0"/>
        <v>47.825000000000003</v>
      </c>
      <c r="G35" s="103">
        <f t="shared" si="3"/>
        <v>255</v>
      </c>
      <c r="H35" s="103">
        <f t="shared" si="1"/>
        <v>17</v>
      </c>
    </row>
    <row r="36" spans="1:8" ht="21" x14ac:dyDescent="0.4">
      <c r="A36" s="105" t="s">
        <v>106</v>
      </c>
      <c r="B36" s="105">
        <v>1</v>
      </c>
      <c r="C36" s="106">
        <v>44986</v>
      </c>
      <c r="D36" s="100">
        <v>2023</v>
      </c>
      <c r="E36" s="104">
        <f t="shared" si="2"/>
        <v>47.825000000000003</v>
      </c>
      <c r="F36" s="102">
        <f t="shared" si="0"/>
        <v>46.825000000000003</v>
      </c>
      <c r="G36" s="103">
        <f t="shared" si="3"/>
        <v>255</v>
      </c>
      <c r="H36" s="103">
        <f t="shared" si="1"/>
        <v>17</v>
      </c>
    </row>
    <row r="37" spans="1:8" ht="21" x14ac:dyDescent="0.4">
      <c r="A37" s="105" t="s">
        <v>106</v>
      </c>
      <c r="B37" s="105">
        <v>0.5</v>
      </c>
      <c r="C37" s="106">
        <v>44986</v>
      </c>
      <c r="D37" s="100">
        <v>2023</v>
      </c>
      <c r="E37" s="104">
        <f t="shared" si="2"/>
        <v>46.825000000000003</v>
      </c>
      <c r="F37" s="102">
        <f t="shared" si="0"/>
        <v>46.325000000000003</v>
      </c>
      <c r="G37" s="103">
        <f t="shared" si="3"/>
        <v>255</v>
      </c>
      <c r="H37" s="103">
        <f t="shared" si="1"/>
        <v>17</v>
      </c>
    </row>
    <row r="38" spans="1:8" ht="21" x14ac:dyDescent="0.4">
      <c r="A38" s="105" t="s">
        <v>106</v>
      </c>
      <c r="B38" s="105">
        <v>6</v>
      </c>
      <c r="C38" s="106">
        <v>44987</v>
      </c>
      <c r="D38" s="100">
        <v>2023</v>
      </c>
      <c r="E38" s="104">
        <f t="shared" si="2"/>
        <v>61.325000000000003</v>
      </c>
      <c r="F38" s="102">
        <f t="shared" si="0"/>
        <v>55.325000000000003</v>
      </c>
      <c r="G38" s="103">
        <f t="shared" si="3"/>
        <v>270</v>
      </c>
      <c r="H38" s="103">
        <f t="shared" si="1"/>
        <v>18</v>
      </c>
    </row>
    <row r="39" spans="1:8" ht="21" x14ac:dyDescent="0.4">
      <c r="A39" s="105" t="s">
        <v>106</v>
      </c>
      <c r="B39" s="105">
        <v>1</v>
      </c>
      <c r="C39" s="106">
        <v>44988</v>
      </c>
      <c r="D39" s="100">
        <v>2023</v>
      </c>
      <c r="E39" s="104">
        <f t="shared" si="2"/>
        <v>70.325000000000003</v>
      </c>
      <c r="F39" s="102">
        <f t="shared" si="0"/>
        <v>69.325000000000003</v>
      </c>
      <c r="G39" s="103">
        <f t="shared" si="3"/>
        <v>285</v>
      </c>
      <c r="H39" s="103">
        <f t="shared" si="1"/>
        <v>19</v>
      </c>
    </row>
    <row r="40" spans="1:8" ht="21" x14ac:dyDescent="0.4">
      <c r="A40" s="105" t="s">
        <v>120</v>
      </c>
      <c r="B40" s="105">
        <v>0</v>
      </c>
      <c r="C40" s="106">
        <v>44989</v>
      </c>
      <c r="D40" s="100">
        <v>2023</v>
      </c>
      <c r="E40" s="104">
        <f t="shared" si="2"/>
        <v>84.325000000000003</v>
      </c>
      <c r="F40" s="102">
        <f t="shared" si="0"/>
        <v>84.325000000000003</v>
      </c>
      <c r="G40" s="103">
        <f t="shared" si="3"/>
        <v>300</v>
      </c>
      <c r="H40" s="103">
        <f t="shared" si="1"/>
        <v>20</v>
      </c>
    </row>
    <row r="41" spans="1:8" ht="21" x14ac:dyDescent="0.4">
      <c r="A41" s="105" t="s">
        <v>106</v>
      </c>
      <c r="B41" s="105">
        <v>1</v>
      </c>
      <c r="C41" s="106">
        <v>44990</v>
      </c>
      <c r="D41" s="100">
        <v>2023</v>
      </c>
      <c r="E41" s="104">
        <f t="shared" si="2"/>
        <v>99.325000000000003</v>
      </c>
      <c r="F41" s="102">
        <f t="shared" si="0"/>
        <v>98.325000000000003</v>
      </c>
      <c r="G41" s="103">
        <f t="shared" si="3"/>
        <v>315</v>
      </c>
      <c r="H41" s="103">
        <f t="shared" si="1"/>
        <v>21</v>
      </c>
    </row>
    <row r="42" spans="1:8" ht="21" x14ac:dyDescent="0.4">
      <c r="A42" s="105" t="s">
        <v>14</v>
      </c>
      <c r="B42" s="105">
        <v>5.9</v>
      </c>
      <c r="C42" s="106">
        <v>44990</v>
      </c>
      <c r="D42" s="100">
        <v>2023</v>
      </c>
      <c r="E42" s="104">
        <f t="shared" si="2"/>
        <v>98.325000000000003</v>
      </c>
      <c r="F42" s="102">
        <f t="shared" si="0"/>
        <v>92.424999999999997</v>
      </c>
      <c r="G42" s="103">
        <f t="shared" si="3"/>
        <v>315</v>
      </c>
      <c r="H42" s="103">
        <f t="shared" si="1"/>
        <v>21</v>
      </c>
    </row>
    <row r="43" spans="1:8" ht="21" x14ac:dyDescent="0.4">
      <c r="A43" s="105" t="s">
        <v>106</v>
      </c>
      <c r="B43" s="105">
        <v>6</v>
      </c>
      <c r="C43" s="106">
        <v>44991</v>
      </c>
      <c r="D43" s="100">
        <v>2023</v>
      </c>
      <c r="E43" s="104">
        <f t="shared" si="2"/>
        <v>107.425</v>
      </c>
      <c r="F43" s="102">
        <f t="shared" si="0"/>
        <v>101.425</v>
      </c>
      <c r="G43" s="103">
        <f t="shared" si="3"/>
        <v>330</v>
      </c>
      <c r="H43" s="103">
        <f t="shared" si="1"/>
        <v>22</v>
      </c>
    </row>
    <row r="44" spans="1:8" ht="21" x14ac:dyDescent="0.4">
      <c r="A44" s="105" t="s">
        <v>106</v>
      </c>
      <c r="B44" s="105">
        <v>1</v>
      </c>
      <c r="C44" s="106">
        <v>44992</v>
      </c>
      <c r="D44" s="100">
        <v>2023</v>
      </c>
      <c r="E44" s="104">
        <f t="shared" si="2"/>
        <v>116.425</v>
      </c>
      <c r="F44" s="102">
        <f t="shared" si="0"/>
        <v>115.425</v>
      </c>
      <c r="G44" s="103">
        <f t="shared" si="3"/>
        <v>345</v>
      </c>
      <c r="H44" s="103">
        <f t="shared" si="1"/>
        <v>23</v>
      </c>
    </row>
    <row r="45" spans="1:8" ht="21" x14ac:dyDescent="0.4">
      <c r="A45" s="105" t="s">
        <v>106</v>
      </c>
      <c r="B45" s="105">
        <v>1</v>
      </c>
      <c r="C45" s="106">
        <v>44992</v>
      </c>
      <c r="D45" s="100">
        <v>2023</v>
      </c>
      <c r="E45" s="104">
        <f t="shared" si="2"/>
        <v>115.425</v>
      </c>
      <c r="F45" s="102">
        <f t="shared" si="0"/>
        <v>114.425</v>
      </c>
      <c r="G45" s="103">
        <f t="shared" si="3"/>
        <v>345</v>
      </c>
      <c r="H45" s="103">
        <f t="shared" si="1"/>
        <v>23</v>
      </c>
    </row>
    <row r="46" spans="1:8" ht="21" x14ac:dyDescent="0.4">
      <c r="A46" s="105" t="s">
        <v>106</v>
      </c>
      <c r="B46" s="105">
        <v>1</v>
      </c>
      <c r="C46" s="106">
        <v>44993</v>
      </c>
      <c r="D46" s="100">
        <v>2023</v>
      </c>
      <c r="E46" s="104">
        <f t="shared" si="2"/>
        <v>129.42500000000001</v>
      </c>
      <c r="F46" s="102">
        <f t="shared" si="0"/>
        <v>128.42500000000001</v>
      </c>
      <c r="G46" s="103">
        <f t="shared" si="3"/>
        <v>360</v>
      </c>
      <c r="H46" s="103">
        <f t="shared" si="1"/>
        <v>24</v>
      </c>
    </row>
    <row r="47" spans="1:8" ht="21" x14ac:dyDescent="0.4">
      <c r="A47" s="105" t="s">
        <v>120</v>
      </c>
      <c r="B47" s="105">
        <v>0</v>
      </c>
      <c r="C47" s="106">
        <v>44994</v>
      </c>
      <c r="D47" s="100">
        <v>2023</v>
      </c>
      <c r="E47" s="104">
        <f t="shared" si="2"/>
        <v>143.42500000000001</v>
      </c>
      <c r="F47" s="102">
        <f t="shared" si="0"/>
        <v>143.42500000000001</v>
      </c>
      <c r="G47" s="103">
        <f t="shared" si="3"/>
        <v>375</v>
      </c>
      <c r="H47" s="103">
        <f t="shared" si="1"/>
        <v>25</v>
      </c>
    </row>
    <row r="48" spans="1:8" ht="21" x14ac:dyDescent="0.4">
      <c r="A48" s="105" t="s">
        <v>106</v>
      </c>
      <c r="B48" s="105">
        <v>1</v>
      </c>
      <c r="C48" s="106">
        <v>44995</v>
      </c>
      <c r="D48" s="100">
        <v>2023</v>
      </c>
      <c r="E48" s="104">
        <f t="shared" si="2"/>
        <v>158.42500000000001</v>
      </c>
      <c r="F48" s="102">
        <f t="shared" si="0"/>
        <v>157.42500000000001</v>
      </c>
      <c r="G48" s="103">
        <f t="shared" si="3"/>
        <v>390</v>
      </c>
      <c r="H48" s="103">
        <f t="shared" si="1"/>
        <v>26</v>
      </c>
    </row>
    <row r="49" spans="1:8" ht="21" x14ac:dyDescent="0.4">
      <c r="A49" s="105" t="s">
        <v>106</v>
      </c>
      <c r="B49" s="105">
        <v>6</v>
      </c>
      <c r="C49" s="106">
        <v>44995</v>
      </c>
      <c r="D49" s="100">
        <v>2023</v>
      </c>
      <c r="E49" s="104">
        <f t="shared" si="2"/>
        <v>157.42500000000001</v>
      </c>
      <c r="F49" s="102">
        <f t="shared" si="0"/>
        <v>151.42500000000001</v>
      </c>
      <c r="G49" s="103">
        <f t="shared" si="3"/>
        <v>390</v>
      </c>
      <c r="H49" s="103">
        <f t="shared" si="1"/>
        <v>26</v>
      </c>
    </row>
    <row r="50" spans="1:8" ht="21" x14ac:dyDescent="0.4">
      <c r="A50" s="105" t="s">
        <v>120</v>
      </c>
      <c r="B50" s="105">
        <v>0</v>
      </c>
      <c r="C50" s="106">
        <v>44996</v>
      </c>
      <c r="D50" s="100">
        <v>2023</v>
      </c>
      <c r="E50" s="104">
        <f t="shared" si="2"/>
        <v>166.42500000000001</v>
      </c>
      <c r="F50" s="102">
        <f t="shared" si="0"/>
        <v>166.42500000000001</v>
      </c>
      <c r="G50" s="103">
        <f t="shared" si="3"/>
        <v>405</v>
      </c>
      <c r="H50" s="103">
        <f t="shared" si="1"/>
        <v>27</v>
      </c>
    </row>
    <row r="51" spans="1:8" ht="21" x14ac:dyDescent="0.4">
      <c r="A51" s="105" t="s">
        <v>14</v>
      </c>
      <c r="B51" s="105">
        <v>1.85</v>
      </c>
      <c r="C51" s="106">
        <v>44996</v>
      </c>
      <c r="D51" s="100">
        <v>2023</v>
      </c>
      <c r="E51" s="104">
        <f t="shared" si="2"/>
        <v>166.42500000000001</v>
      </c>
      <c r="F51" s="102">
        <f t="shared" si="0"/>
        <v>164.57500000000002</v>
      </c>
      <c r="G51" s="103">
        <f t="shared" si="3"/>
        <v>405</v>
      </c>
      <c r="H51" s="103">
        <f t="shared" si="1"/>
        <v>27</v>
      </c>
    </row>
    <row r="52" spans="1:8" ht="21" x14ac:dyDescent="0.4">
      <c r="A52" s="105" t="s">
        <v>14</v>
      </c>
      <c r="B52" s="105">
        <v>8.4</v>
      </c>
      <c r="C52" s="106">
        <v>44996</v>
      </c>
      <c r="D52" s="100">
        <v>2023</v>
      </c>
      <c r="E52" s="104">
        <f t="shared" si="2"/>
        <v>164.57500000000002</v>
      </c>
      <c r="F52" s="102">
        <f t="shared" si="0"/>
        <v>156.17500000000001</v>
      </c>
      <c r="G52" s="103">
        <f t="shared" si="3"/>
        <v>405</v>
      </c>
      <c r="H52" s="103">
        <f t="shared" si="1"/>
        <v>27</v>
      </c>
    </row>
    <row r="53" spans="1:8" ht="21" x14ac:dyDescent="0.4">
      <c r="A53" s="105" t="s">
        <v>120</v>
      </c>
      <c r="B53" s="105">
        <v>0</v>
      </c>
      <c r="C53" s="106">
        <v>44997</v>
      </c>
      <c r="D53" s="100">
        <v>2023</v>
      </c>
      <c r="E53" s="104">
        <f t="shared" si="2"/>
        <v>171.17500000000001</v>
      </c>
      <c r="F53" s="102">
        <f t="shared" si="0"/>
        <v>171.17500000000001</v>
      </c>
      <c r="G53" s="103">
        <f t="shared" si="3"/>
        <v>420</v>
      </c>
      <c r="H53" s="103">
        <f t="shared" si="1"/>
        <v>28</v>
      </c>
    </row>
    <row r="54" spans="1:8" ht="21" x14ac:dyDescent="0.4">
      <c r="A54" s="105" t="s">
        <v>106</v>
      </c>
      <c r="B54" s="105">
        <v>1</v>
      </c>
      <c r="C54" s="106">
        <v>44998</v>
      </c>
      <c r="D54" s="100">
        <v>2023</v>
      </c>
      <c r="E54" s="104">
        <f t="shared" si="2"/>
        <v>186.17500000000001</v>
      </c>
      <c r="F54" s="102">
        <f t="shared" si="0"/>
        <v>185.17500000000001</v>
      </c>
      <c r="G54" s="103">
        <f t="shared" si="3"/>
        <v>435</v>
      </c>
      <c r="H54" s="103">
        <f t="shared" si="1"/>
        <v>29</v>
      </c>
    </row>
    <row r="55" spans="1:8" ht="21" x14ac:dyDescent="0.4">
      <c r="A55" s="105" t="s">
        <v>120</v>
      </c>
      <c r="B55" s="105">
        <v>0</v>
      </c>
      <c r="C55" s="106">
        <v>44999</v>
      </c>
      <c r="D55" s="100">
        <v>2023</v>
      </c>
      <c r="E55" s="104">
        <f t="shared" si="2"/>
        <v>200.17500000000001</v>
      </c>
      <c r="F55" s="102">
        <f t="shared" si="0"/>
        <v>200.17500000000001</v>
      </c>
      <c r="G55" s="103">
        <f t="shared" si="3"/>
        <v>450</v>
      </c>
      <c r="H55" s="103">
        <f t="shared" si="1"/>
        <v>30</v>
      </c>
    </row>
    <row r="56" spans="1:8" ht="21" x14ac:dyDescent="0.4">
      <c r="A56" s="105" t="s">
        <v>120</v>
      </c>
      <c r="B56" s="105">
        <v>0</v>
      </c>
      <c r="C56" s="106">
        <v>45000</v>
      </c>
      <c r="D56" s="100">
        <v>2023</v>
      </c>
      <c r="E56" s="104">
        <f t="shared" si="2"/>
        <v>215.17500000000001</v>
      </c>
      <c r="F56" s="102">
        <f t="shared" si="0"/>
        <v>215.17500000000001</v>
      </c>
      <c r="G56" s="103">
        <f t="shared" si="3"/>
        <v>465</v>
      </c>
      <c r="H56" s="103">
        <f t="shared" si="1"/>
        <v>31</v>
      </c>
    </row>
    <row r="57" spans="1:8" ht="21" x14ac:dyDescent="0.4">
      <c r="A57" s="105" t="s">
        <v>106</v>
      </c>
      <c r="B57" s="105">
        <v>1</v>
      </c>
      <c r="C57" s="106">
        <v>45001</v>
      </c>
      <c r="D57" s="100">
        <v>2023</v>
      </c>
      <c r="E57" s="104">
        <f t="shared" si="2"/>
        <v>230.17500000000001</v>
      </c>
      <c r="F57" s="102">
        <f t="shared" si="0"/>
        <v>229.17500000000001</v>
      </c>
      <c r="G57" s="103">
        <f t="shared" si="3"/>
        <v>480</v>
      </c>
      <c r="H57" s="103">
        <f t="shared" si="1"/>
        <v>32</v>
      </c>
    </row>
    <row r="58" spans="1:8" ht="21" x14ac:dyDescent="0.4">
      <c r="A58" s="105" t="s">
        <v>106</v>
      </c>
      <c r="B58" s="105">
        <v>1</v>
      </c>
      <c r="C58" s="106">
        <v>45002</v>
      </c>
      <c r="D58" s="100">
        <v>2023</v>
      </c>
      <c r="E58" s="104">
        <f t="shared" si="2"/>
        <v>244.17500000000001</v>
      </c>
      <c r="F58" s="102">
        <f t="shared" si="0"/>
        <v>243.17500000000001</v>
      </c>
      <c r="G58" s="103">
        <f t="shared" si="3"/>
        <v>495</v>
      </c>
      <c r="H58" s="103">
        <f t="shared" si="1"/>
        <v>33</v>
      </c>
    </row>
    <row r="59" spans="1:8" ht="21" x14ac:dyDescent="0.4">
      <c r="A59" s="105" t="s">
        <v>106</v>
      </c>
      <c r="B59" s="105">
        <v>1</v>
      </c>
      <c r="C59" s="106">
        <v>45003</v>
      </c>
      <c r="D59" s="100">
        <v>2023</v>
      </c>
      <c r="E59" s="104">
        <f t="shared" si="2"/>
        <v>258.17500000000001</v>
      </c>
      <c r="F59" s="102">
        <f t="shared" si="0"/>
        <v>257.17500000000001</v>
      </c>
      <c r="G59" s="103">
        <f t="shared" si="3"/>
        <v>510</v>
      </c>
      <c r="H59" s="103">
        <f t="shared" si="1"/>
        <v>34</v>
      </c>
    </row>
    <row r="60" spans="1:8" ht="21" x14ac:dyDescent="0.4">
      <c r="A60" s="105" t="s">
        <v>106</v>
      </c>
      <c r="B60" s="105">
        <v>3</v>
      </c>
      <c r="C60" s="106">
        <v>45003</v>
      </c>
      <c r="D60" s="100">
        <v>2023</v>
      </c>
      <c r="E60" s="104">
        <f t="shared" si="2"/>
        <v>257.17500000000001</v>
      </c>
      <c r="F60" s="102">
        <f t="shared" si="0"/>
        <v>254.17500000000001</v>
      </c>
      <c r="G60" s="103">
        <f t="shared" si="3"/>
        <v>510</v>
      </c>
      <c r="H60" s="103">
        <f t="shared" si="1"/>
        <v>34</v>
      </c>
    </row>
    <row r="61" spans="1:8" ht="21" x14ac:dyDescent="0.4">
      <c r="A61" s="105" t="s">
        <v>106</v>
      </c>
      <c r="B61" s="105">
        <v>12.7</v>
      </c>
      <c r="C61" s="106">
        <v>45003</v>
      </c>
      <c r="D61" s="100">
        <v>2023</v>
      </c>
      <c r="E61" s="104">
        <f t="shared" si="2"/>
        <v>254.17500000000001</v>
      </c>
      <c r="F61" s="102">
        <f t="shared" si="0"/>
        <v>241.47500000000002</v>
      </c>
      <c r="G61" s="103">
        <f t="shared" si="3"/>
        <v>510</v>
      </c>
      <c r="H61" s="103">
        <f t="shared" si="1"/>
        <v>34</v>
      </c>
    </row>
    <row r="62" spans="1:8" ht="21" x14ac:dyDescent="0.4">
      <c r="A62" s="105" t="s">
        <v>14</v>
      </c>
      <c r="B62" s="105">
        <v>9.1750000000000007</v>
      </c>
      <c r="C62" s="106">
        <v>45003</v>
      </c>
      <c r="D62" s="100">
        <v>2023</v>
      </c>
      <c r="E62" s="104">
        <f t="shared" si="2"/>
        <v>241.47500000000002</v>
      </c>
      <c r="F62" s="102">
        <f t="shared" si="0"/>
        <v>232.3</v>
      </c>
      <c r="G62" s="103">
        <f t="shared" si="3"/>
        <v>510</v>
      </c>
      <c r="H62" s="103">
        <f t="shared" si="1"/>
        <v>34</v>
      </c>
    </row>
    <row r="63" spans="1:8" ht="21" x14ac:dyDescent="0.4">
      <c r="A63" s="105" t="s">
        <v>14</v>
      </c>
      <c r="B63" s="105">
        <v>8.7750000000000004</v>
      </c>
      <c r="C63" s="106">
        <v>45003</v>
      </c>
      <c r="D63" s="100">
        <v>2023</v>
      </c>
      <c r="E63" s="104">
        <f t="shared" si="2"/>
        <v>232.3</v>
      </c>
      <c r="F63" s="102">
        <f t="shared" si="0"/>
        <v>223.52500000000001</v>
      </c>
      <c r="G63" s="103">
        <f t="shared" si="3"/>
        <v>510</v>
      </c>
      <c r="H63" s="103">
        <f t="shared" si="1"/>
        <v>34</v>
      </c>
    </row>
    <row r="64" spans="1:8" ht="21" x14ac:dyDescent="0.4">
      <c r="A64" s="105" t="s">
        <v>106</v>
      </c>
      <c r="B64" s="105">
        <v>1</v>
      </c>
      <c r="C64" s="106">
        <v>45004</v>
      </c>
      <c r="D64" s="100">
        <v>2023</v>
      </c>
      <c r="E64" s="104">
        <f t="shared" si="2"/>
        <v>238.52500000000001</v>
      </c>
      <c r="F64" s="102">
        <f t="shared" si="0"/>
        <v>237.52500000000001</v>
      </c>
      <c r="G64" s="103">
        <f t="shared" si="3"/>
        <v>525</v>
      </c>
      <c r="H64" s="103">
        <f t="shared" si="1"/>
        <v>35</v>
      </c>
    </row>
    <row r="65" spans="1:8" ht="21" x14ac:dyDescent="0.4">
      <c r="A65" s="105" t="s">
        <v>106</v>
      </c>
      <c r="B65" s="105">
        <v>8.6199999999999992</v>
      </c>
      <c r="C65" s="106">
        <v>45004</v>
      </c>
      <c r="D65" s="100">
        <v>2023</v>
      </c>
      <c r="E65" s="104">
        <f t="shared" si="2"/>
        <v>237.52500000000001</v>
      </c>
      <c r="F65" s="102">
        <f t="shared" si="0"/>
        <v>228.905</v>
      </c>
      <c r="G65" s="103">
        <f t="shared" si="3"/>
        <v>525</v>
      </c>
      <c r="H65" s="103">
        <f t="shared" si="1"/>
        <v>35</v>
      </c>
    </row>
    <row r="66" spans="1:8" ht="21" x14ac:dyDescent="0.4">
      <c r="A66" s="105" t="s">
        <v>106</v>
      </c>
      <c r="B66" s="105">
        <v>1</v>
      </c>
      <c r="C66" s="106">
        <v>45005</v>
      </c>
      <c r="D66" s="100">
        <v>2023</v>
      </c>
      <c r="E66" s="104">
        <f t="shared" si="2"/>
        <v>243.905</v>
      </c>
      <c r="F66" s="102">
        <f t="shared" si="0"/>
        <v>242.905</v>
      </c>
      <c r="G66" s="103">
        <f t="shared" si="3"/>
        <v>540</v>
      </c>
      <c r="H66" s="103">
        <f t="shared" si="1"/>
        <v>36</v>
      </c>
    </row>
    <row r="67" spans="1:8" ht="21" x14ac:dyDescent="0.4">
      <c r="A67" s="105" t="s">
        <v>106</v>
      </c>
      <c r="B67" s="105">
        <v>2</v>
      </c>
      <c r="C67" s="106">
        <v>45006</v>
      </c>
      <c r="D67" s="100">
        <v>2023</v>
      </c>
      <c r="E67" s="104">
        <f t="shared" si="2"/>
        <v>257.90499999999997</v>
      </c>
      <c r="F67" s="102">
        <f t="shared" ref="F67:F130" si="4">E67-B67</f>
        <v>255.90499999999997</v>
      </c>
      <c r="G67" s="103">
        <f t="shared" si="3"/>
        <v>555</v>
      </c>
      <c r="H67" s="103">
        <f t="shared" ref="H67:H130" si="5">G67/15</f>
        <v>37</v>
      </c>
    </row>
    <row r="68" spans="1:8" ht="21" x14ac:dyDescent="0.4">
      <c r="A68" s="105" t="s">
        <v>106</v>
      </c>
      <c r="B68" s="105">
        <v>1</v>
      </c>
      <c r="C68" s="106">
        <v>45007</v>
      </c>
      <c r="D68" s="100">
        <v>2023</v>
      </c>
      <c r="E68" s="104">
        <f t="shared" ref="E68:E131" si="6">IF(C68=C67,F67,F67+15)</f>
        <v>270.90499999999997</v>
      </c>
      <c r="F68" s="102">
        <f t="shared" si="4"/>
        <v>269.90499999999997</v>
      </c>
      <c r="G68" s="103">
        <f t="shared" ref="G68:G131" si="7">IF(C68&lt;&gt;C67, 15+G67,G67)</f>
        <v>570</v>
      </c>
      <c r="H68" s="103">
        <f t="shared" si="5"/>
        <v>38</v>
      </c>
    </row>
    <row r="69" spans="1:8" ht="21" x14ac:dyDescent="0.4">
      <c r="A69" s="105" t="s">
        <v>106</v>
      </c>
      <c r="B69" s="105">
        <v>6</v>
      </c>
      <c r="C69" s="106">
        <v>45007</v>
      </c>
      <c r="D69" s="100">
        <v>2023</v>
      </c>
      <c r="E69" s="104">
        <f t="shared" si="6"/>
        <v>269.90499999999997</v>
      </c>
      <c r="F69" s="102">
        <f t="shared" si="4"/>
        <v>263.90499999999997</v>
      </c>
      <c r="G69" s="103">
        <f t="shared" si="7"/>
        <v>570</v>
      </c>
      <c r="H69" s="103">
        <f t="shared" si="5"/>
        <v>38</v>
      </c>
    </row>
    <row r="70" spans="1:8" ht="21" x14ac:dyDescent="0.4">
      <c r="A70" s="105" t="s">
        <v>106</v>
      </c>
      <c r="B70" s="105">
        <v>8</v>
      </c>
      <c r="C70" s="106">
        <v>45008</v>
      </c>
      <c r="D70" s="100">
        <v>2023</v>
      </c>
      <c r="E70" s="104">
        <f t="shared" si="6"/>
        <v>278.90499999999997</v>
      </c>
      <c r="F70" s="102">
        <f t="shared" si="4"/>
        <v>270.90499999999997</v>
      </c>
      <c r="G70" s="103">
        <f t="shared" si="7"/>
        <v>585</v>
      </c>
      <c r="H70" s="103">
        <f t="shared" si="5"/>
        <v>39</v>
      </c>
    </row>
    <row r="71" spans="1:8" ht="21" x14ac:dyDescent="0.4">
      <c r="A71" s="105" t="s">
        <v>106</v>
      </c>
      <c r="B71" s="105">
        <v>1</v>
      </c>
      <c r="C71" s="106">
        <v>45008</v>
      </c>
      <c r="D71" s="100">
        <v>2023</v>
      </c>
      <c r="E71" s="104">
        <f t="shared" si="6"/>
        <v>270.90499999999997</v>
      </c>
      <c r="F71" s="102">
        <f t="shared" si="4"/>
        <v>269.90499999999997</v>
      </c>
      <c r="G71" s="103">
        <f t="shared" si="7"/>
        <v>585</v>
      </c>
      <c r="H71" s="103">
        <f t="shared" si="5"/>
        <v>39</v>
      </c>
    </row>
    <row r="72" spans="1:8" ht="21" x14ac:dyDescent="0.4">
      <c r="A72" s="105" t="s">
        <v>120</v>
      </c>
      <c r="B72" s="105">
        <v>0</v>
      </c>
      <c r="C72" s="106">
        <v>45009</v>
      </c>
      <c r="D72" s="100">
        <v>2023</v>
      </c>
      <c r="E72" s="104">
        <f t="shared" si="6"/>
        <v>284.90499999999997</v>
      </c>
      <c r="F72" s="102">
        <f t="shared" si="4"/>
        <v>284.90499999999997</v>
      </c>
      <c r="G72" s="103">
        <f t="shared" si="7"/>
        <v>600</v>
      </c>
      <c r="H72" s="103">
        <f t="shared" si="5"/>
        <v>40</v>
      </c>
    </row>
    <row r="73" spans="1:8" ht="21" x14ac:dyDescent="0.4">
      <c r="A73" s="105" t="s">
        <v>106</v>
      </c>
      <c r="B73" s="105">
        <v>1</v>
      </c>
      <c r="C73" s="106">
        <v>45010</v>
      </c>
      <c r="D73" s="100">
        <v>2023</v>
      </c>
      <c r="E73" s="104">
        <f t="shared" si="6"/>
        <v>299.90499999999997</v>
      </c>
      <c r="F73" s="102">
        <f t="shared" si="4"/>
        <v>298.90499999999997</v>
      </c>
      <c r="G73" s="103">
        <f t="shared" si="7"/>
        <v>615</v>
      </c>
      <c r="H73" s="103">
        <f t="shared" si="5"/>
        <v>41</v>
      </c>
    </row>
    <row r="74" spans="1:8" ht="21" x14ac:dyDescent="0.4">
      <c r="A74" s="105" t="s">
        <v>106</v>
      </c>
      <c r="B74" s="105">
        <v>7.5</v>
      </c>
      <c r="C74" s="106">
        <v>45010</v>
      </c>
      <c r="D74" s="100">
        <v>2023</v>
      </c>
      <c r="E74" s="104">
        <f t="shared" si="6"/>
        <v>298.90499999999997</v>
      </c>
      <c r="F74" s="102">
        <f t="shared" si="4"/>
        <v>291.40499999999997</v>
      </c>
      <c r="G74" s="103">
        <f t="shared" si="7"/>
        <v>615</v>
      </c>
      <c r="H74" s="103">
        <f t="shared" si="5"/>
        <v>41</v>
      </c>
    </row>
    <row r="75" spans="1:8" ht="21" x14ac:dyDescent="0.4">
      <c r="A75" s="105" t="s">
        <v>120</v>
      </c>
      <c r="B75" s="105">
        <v>0</v>
      </c>
      <c r="C75" s="106">
        <v>45011</v>
      </c>
      <c r="D75" s="100">
        <v>2023</v>
      </c>
      <c r="E75" s="104">
        <f t="shared" si="6"/>
        <v>306.40499999999997</v>
      </c>
      <c r="F75" s="102">
        <f t="shared" si="4"/>
        <v>306.40499999999997</v>
      </c>
      <c r="G75" s="103">
        <f t="shared" si="7"/>
        <v>630</v>
      </c>
      <c r="H75" s="103">
        <f t="shared" si="5"/>
        <v>42</v>
      </c>
    </row>
    <row r="76" spans="1:8" ht="21" x14ac:dyDescent="0.4">
      <c r="A76" s="105" t="s">
        <v>14</v>
      </c>
      <c r="B76" s="105">
        <v>9.8000000000000007</v>
      </c>
      <c r="C76" s="106">
        <v>45011</v>
      </c>
      <c r="D76" s="100">
        <v>2023</v>
      </c>
      <c r="E76" s="104">
        <f t="shared" si="6"/>
        <v>306.40499999999997</v>
      </c>
      <c r="F76" s="102">
        <f t="shared" si="4"/>
        <v>296.60499999999996</v>
      </c>
      <c r="G76" s="103">
        <f t="shared" si="7"/>
        <v>630</v>
      </c>
      <c r="H76" s="103">
        <f t="shared" si="5"/>
        <v>42</v>
      </c>
    </row>
    <row r="77" spans="1:8" ht="21" x14ac:dyDescent="0.4">
      <c r="A77" s="105" t="s">
        <v>120</v>
      </c>
      <c r="B77" s="105">
        <v>0</v>
      </c>
      <c r="C77" s="106">
        <v>45012</v>
      </c>
      <c r="D77" s="100">
        <v>2023</v>
      </c>
      <c r="E77" s="104">
        <f t="shared" si="6"/>
        <v>311.60499999999996</v>
      </c>
      <c r="F77" s="102">
        <f t="shared" si="4"/>
        <v>311.60499999999996</v>
      </c>
      <c r="G77" s="103">
        <f t="shared" si="7"/>
        <v>645</v>
      </c>
      <c r="H77" s="103">
        <f t="shared" si="5"/>
        <v>43</v>
      </c>
    </row>
    <row r="78" spans="1:8" ht="21" x14ac:dyDescent="0.4">
      <c r="A78" s="105" t="s">
        <v>120</v>
      </c>
      <c r="B78" s="105">
        <v>0</v>
      </c>
      <c r="C78" s="106">
        <v>45013</v>
      </c>
      <c r="D78" s="100">
        <v>2023</v>
      </c>
      <c r="E78" s="104">
        <f t="shared" si="6"/>
        <v>326.60499999999996</v>
      </c>
      <c r="F78" s="102">
        <f t="shared" si="4"/>
        <v>326.60499999999996</v>
      </c>
      <c r="G78" s="103">
        <f t="shared" si="7"/>
        <v>660</v>
      </c>
      <c r="H78" s="103">
        <f t="shared" si="5"/>
        <v>44</v>
      </c>
    </row>
    <row r="79" spans="1:8" ht="21" x14ac:dyDescent="0.4">
      <c r="A79" s="105" t="s">
        <v>106</v>
      </c>
      <c r="B79" s="105">
        <v>1</v>
      </c>
      <c r="C79" s="106">
        <v>45014</v>
      </c>
      <c r="D79" s="100">
        <v>2023</v>
      </c>
      <c r="E79" s="104">
        <f t="shared" si="6"/>
        <v>341.60499999999996</v>
      </c>
      <c r="F79" s="102">
        <f t="shared" si="4"/>
        <v>340.60499999999996</v>
      </c>
      <c r="G79" s="103">
        <f t="shared" si="7"/>
        <v>675</v>
      </c>
      <c r="H79" s="103">
        <f t="shared" si="5"/>
        <v>45</v>
      </c>
    </row>
    <row r="80" spans="1:8" ht="21" x14ac:dyDescent="0.4">
      <c r="A80" s="105" t="s">
        <v>106</v>
      </c>
      <c r="B80" s="105">
        <v>6</v>
      </c>
      <c r="C80" s="106">
        <v>45015</v>
      </c>
      <c r="D80" s="100">
        <v>2023</v>
      </c>
      <c r="E80" s="104">
        <f t="shared" si="6"/>
        <v>355.60499999999996</v>
      </c>
      <c r="F80" s="102">
        <f t="shared" si="4"/>
        <v>349.60499999999996</v>
      </c>
      <c r="G80" s="103">
        <f t="shared" si="7"/>
        <v>690</v>
      </c>
      <c r="H80" s="103">
        <f t="shared" si="5"/>
        <v>46</v>
      </c>
    </row>
    <row r="81" spans="1:8" ht="21" x14ac:dyDescent="0.4">
      <c r="A81" s="105" t="s">
        <v>106</v>
      </c>
      <c r="B81" s="105">
        <v>1</v>
      </c>
      <c r="C81" s="106">
        <v>45015</v>
      </c>
      <c r="D81" s="100">
        <v>2023</v>
      </c>
      <c r="E81" s="104">
        <f t="shared" si="6"/>
        <v>349.60499999999996</v>
      </c>
      <c r="F81" s="102">
        <f t="shared" si="4"/>
        <v>348.60499999999996</v>
      </c>
      <c r="G81" s="103">
        <f t="shared" si="7"/>
        <v>690</v>
      </c>
      <c r="H81" s="103">
        <f t="shared" si="5"/>
        <v>46</v>
      </c>
    </row>
    <row r="82" spans="1:8" ht="21" x14ac:dyDescent="0.4">
      <c r="A82" s="105" t="s">
        <v>106</v>
      </c>
      <c r="B82" s="105">
        <v>1</v>
      </c>
      <c r="C82" s="106">
        <v>45016</v>
      </c>
      <c r="D82" s="100">
        <v>2023</v>
      </c>
      <c r="E82" s="104">
        <f t="shared" si="6"/>
        <v>363.60499999999996</v>
      </c>
      <c r="F82" s="102">
        <f t="shared" si="4"/>
        <v>362.60499999999996</v>
      </c>
      <c r="G82" s="103">
        <f t="shared" si="7"/>
        <v>705</v>
      </c>
      <c r="H82" s="103">
        <f t="shared" si="5"/>
        <v>47</v>
      </c>
    </row>
    <row r="83" spans="1:8" ht="21" x14ac:dyDescent="0.4">
      <c r="A83" s="107" t="s">
        <v>106</v>
      </c>
      <c r="B83" s="107">
        <v>0.8</v>
      </c>
      <c r="C83" s="108">
        <v>45017</v>
      </c>
      <c r="D83" s="100">
        <v>2023</v>
      </c>
      <c r="E83" s="104">
        <f t="shared" si="6"/>
        <v>377.60499999999996</v>
      </c>
      <c r="F83" s="102">
        <f t="shared" si="4"/>
        <v>376.80499999999995</v>
      </c>
      <c r="G83" s="103">
        <f t="shared" si="7"/>
        <v>720</v>
      </c>
      <c r="H83" s="103">
        <f t="shared" si="5"/>
        <v>48</v>
      </c>
    </row>
    <row r="84" spans="1:8" ht="21" x14ac:dyDescent="0.4">
      <c r="A84" s="107" t="s">
        <v>106</v>
      </c>
      <c r="B84" s="107">
        <v>3</v>
      </c>
      <c r="C84" s="108">
        <v>45017</v>
      </c>
      <c r="D84" s="100">
        <v>2023</v>
      </c>
      <c r="E84" s="104">
        <f t="shared" si="6"/>
        <v>376.80499999999995</v>
      </c>
      <c r="F84" s="102">
        <f t="shared" si="4"/>
        <v>373.80499999999995</v>
      </c>
      <c r="G84" s="103">
        <f t="shared" si="7"/>
        <v>720</v>
      </c>
      <c r="H84" s="103">
        <f t="shared" si="5"/>
        <v>48</v>
      </c>
    </row>
    <row r="85" spans="1:8" ht="21" x14ac:dyDescent="0.4">
      <c r="A85" s="107" t="s">
        <v>120</v>
      </c>
      <c r="B85" s="107">
        <v>0</v>
      </c>
      <c r="C85" s="108">
        <v>45018</v>
      </c>
      <c r="D85" s="100">
        <v>2023</v>
      </c>
      <c r="E85" s="104">
        <f t="shared" si="6"/>
        <v>388.80499999999995</v>
      </c>
      <c r="F85" s="102">
        <f t="shared" si="4"/>
        <v>388.80499999999995</v>
      </c>
      <c r="G85" s="103">
        <f t="shared" si="7"/>
        <v>735</v>
      </c>
      <c r="H85" s="103">
        <f t="shared" si="5"/>
        <v>49</v>
      </c>
    </row>
    <row r="86" spans="1:8" ht="21" x14ac:dyDescent="0.4">
      <c r="A86" s="107" t="s">
        <v>106</v>
      </c>
      <c r="B86" s="107">
        <v>1</v>
      </c>
      <c r="C86" s="108">
        <v>45019</v>
      </c>
      <c r="D86" s="100">
        <v>2023</v>
      </c>
      <c r="E86" s="104">
        <f t="shared" si="6"/>
        <v>403.80499999999995</v>
      </c>
      <c r="F86" s="102">
        <f t="shared" si="4"/>
        <v>402.80499999999995</v>
      </c>
      <c r="G86" s="103">
        <f t="shared" si="7"/>
        <v>750</v>
      </c>
      <c r="H86" s="103">
        <f t="shared" si="5"/>
        <v>50</v>
      </c>
    </row>
    <row r="87" spans="1:8" ht="21" x14ac:dyDescent="0.4">
      <c r="A87" s="107" t="s">
        <v>106</v>
      </c>
      <c r="B87" s="107">
        <v>3</v>
      </c>
      <c r="C87" s="108">
        <v>45020</v>
      </c>
      <c r="D87" s="100">
        <v>2023</v>
      </c>
      <c r="E87" s="104">
        <f t="shared" si="6"/>
        <v>417.80499999999995</v>
      </c>
      <c r="F87" s="102">
        <f t="shared" si="4"/>
        <v>414.80499999999995</v>
      </c>
      <c r="G87" s="103">
        <f t="shared" si="7"/>
        <v>765</v>
      </c>
      <c r="H87" s="103">
        <f t="shared" si="5"/>
        <v>51</v>
      </c>
    </row>
    <row r="88" spans="1:8" ht="21" x14ac:dyDescent="0.4">
      <c r="A88" s="107" t="s">
        <v>106</v>
      </c>
      <c r="B88" s="107">
        <v>7.5</v>
      </c>
      <c r="C88" s="108">
        <v>45021</v>
      </c>
      <c r="D88" s="100">
        <v>2023</v>
      </c>
      <c r="E88" s="104">
        <f t="shared" si="6"/>
        <v>429.80499999999995</v>
      </c>
      <c r="F88" s="102">
        <f t="shared" si="4"/>
        <v>422.30499999999995</v>
      </c>
      <c r="G88" s="103">
        <f t="shared" si="7"/>
        <v>780</v>
      </c>
      <c r="H88" s="103">
        <f t="shared" si="5"/>
        <v>52</v>
      </c>
    </row>
    <row r="89" spans="1:8" ht="21" x14ac:dyDescent="0.4">
      <c r="A89" s="107" t="s">
        <v>106</v>
      </c>
      <c r="B89" s="107">
        <v>1</v>
      </c>
      <c r="C89" s="108">
        <v>45021</v>
      </c>
      <c r="D89" s="100">
        <v>2023</v>
      </c>
      <c r="E89" s="104">
        <f t="shared" si="6"/>
        <v>422.30499999999995</v>
      </c>
      <c r="F89" s="102">
        <f t="shared" si="4"/>
        <v>421.30499999999995</v>
      </c>
      <c r="G89" s="103">
        <f t="shared" si="7"/>
        <v>780</v>
      </c>
      <c r="H89" s="103">
        <f t="shared" si="5"/>
        <v>52</v>
      </c>
    </row>
    <row r="90" spans="1:8" ht="21" x14ac:dyDescent="0.4">
      <c r="A90" s="107" t="s">
        <v>106</v>
      </c>
      <c r="B90" s="107">
        <v>3</v>
      </c>
      <c r="C90" s="108">
        <v>45022</v>
      </c>
      <c r="D90" s="100">
        <v>2023</v>
      </c>
      <c r="E90" s="104">
        <f t="shared" si="6"/>
        <v>436.30499999999995</v>
      </c>
      <c r="F90" s="102">
        <f t="shared" si="4"/>
        <v>433.30499999999995</v>
      </c>
      <c r="G90" s="103">
        <f t="shared" si="7"/>
        <v>795</v>
      </c>
      <c r="H90" s="103">
        <f t="shared" si="5"/>
        <v>53</v>
      </c>
    </row>
    <row r="91" spans="1:8" ht="21" x14ac:dyDescent="0.4">
      <c r="A91" s="107" t="s">
        <v>106</v>
      </c>
      <c r="B91" s="107">
        <v>1</v>
      </c>
      <c r="C91" s="108">
        <v>45022</v>
      </c>
      <c r="D91" s="100">
        <v>2023</v>
      </c>
      <c r="E91" s="104">
        <f t="shared" si="6"/>
        <v>433.30499999999995</v>
      </c>
      <c r="F91" s="102">
        <f t="shared" si="4"/>
        <v>432.30499999999995</v>
      </c>
      <c r="G91" s="103">
        <f t="shared" si="7"/>
        <v>795</v>
      </c>
      <c r="H91" s="103">
        <f t="shared" si="5"/>
        <v>53</v>
      </c>
    </row>
    <row r="92" spans="1:8" ht="21" x14ac:dyDescent="0.4">
      <c r="A92" s="107" t="s">
        <v>106</v>
      </c>
      <c r="B92" s="107">
        <v>2</v>
      </c>
      <c r="C92" s="108">
        <v>45023</v>
      </c>
      <c r="D92" s="100">
        <v>2023</v>
      </c>
      <c r="E92" s="104">
        <f t="shared" si="6"/>
        <v>447.30499999999995</v>
      </c>
      <c r="F92" s="102">
        <f t="shared" si="4"/>
        <v>445.30499999999995</v>
      </c>
      <c r="G92" s="103">
        <f t="shared" si="7"/>
        <v>810</v>
      </c>
      <c r="H92" s="103">
        <f t="shared" si="5"/>
        <v>54</v>
      </c>
    </row>
    <row r="93" spans="1:8" ht="21" x14ac:dyDescent="0.4">
      <c r="A93" s="107" t="s">
        <v>106</v>
      </c>
      <c r="B93" s="107">
        <v>29.03</v>
      </c>
      <c r="C93" s="108">
        <v>45023</v>
      </c>
      <c r="D93" s="100">
        <v>2023</v>
      </c>
      <c r="E93" s="104">
        <f t="shared" si="6"/>
        <v>445.30499999999995</v>
      </c>
      <c r="F93" s="102">
        <f t="shared" si="4"/>
        <v>416.27499999999998</v>
      </c>
      <c r="G93" s="103">
        <f t="shared" si="7"/>
        <v>810</v>
      </c>
      <c r="H93" s="103">
        <f t="shared" si="5"/>
        <v>54</v>
      </c>
    </row>
    <row r="94" spans="1:8" ht="21" x14ac:dyDescent="0.4">
      <c r="A94" s="107" t="s">
        <v>106</v>
      </c>
      <c r="B94" s="107">
        <v>2</v>
      </c>
      <c r="C94" s="108">
        <v>45024</v>
      </c>
      <c r="D94" s="100">
        <v>2023</v>
      </c>
      <c r="E94" s="104">
        <f t="shared" si="6"/>
        <v>431.27499999999998</v>
      </c>
      <c r="F94" s="102">
        <f t="shared" si="4"/>
        <v>429.27499999999998</v>
      </c>
      <c r="G94" s="103">
        <f t="shared" si="7"/>
        <v>825</v>
      </c>
      <c r="H94" s="103">
        <f t="shared" si="5"/>
        <v>55</v>
      </c>
    </row>
    <row r="95" spans="1:8" ht="21" x14ac:dyDescent="0.4">
      <c r="A95" s="107" t="s">
        <v>106</v>
      </c>
      <c r="B95" s="107">
        <v>4.8</v>
      </c>
      <c r="C95" s="108">
        <v>45024</v>
      </c>
      <c r="D95" s="100">
        <v>2023</v>
      </c>
      <c r="E95" s="104">
        <f t="shared" si="6"/>
        <v>429.27499999999998</v>
      </c>
      <c r="F95" s="102">
        <f t="shared" si="4"/>
        <v>424.47499999999997</v>
      </c>
      <c r="G95" s="103">
        <f t="shared" si="7"/>
        <v>825</v>
      </c>
      <c r="H95" s="103">
        <f t="shared" si="5"/>
        <v>55</v>
      </c>
    </row>
    <row r="96" spans="1:8" ht="21" x14ac:dyDescent="0.4">
      <c r="A96" s="107" t="s">
        <v>14</v>
      </c>
      <c r="B96" s="107">
        <v>12</v>
      </c>
      <c r="C96" s="108">
        <v>45025</v>
      </c>
      <c r="D96" s="100">
        <v>2023</v>
      </c>
      <c r="E96" s="104">
        <f t="shared" si="6"/>
        <v>439.47499999999997</v>
      </c>
      <c r="F96" s="102">
        <f t="shared" si="4"/>
        <v>427.47499999999997</v>
      </c>
      <c r="G96" s="103">
        <f t="shared" si="7"/>
        <v>840</v>
      </c>
      <c r="H96" s="103">
        <f t="shared" si="5"/>
        <v>56</v>
      </c>
    </row>
    <row r="97" spans="1:8" ht="21" x14ac:dyDescent="0.4">
      <c r="A97" s="107" t="s">
        <v>14</v>
      </c>
      <c r="B97" s="107">
        <v>12.35</v>
      </c>
      <c r="C97" s="108">
        <v>45025</v>
      </c>
      <c r="D97" s="100">
        <v>2023</v>
      </c>
      <c r="E97" s="104">
        <f t="shared" si="6"/>
        <v>427.47499999999997</v>
      </c>
      <c r="F97" s="102">
        <f t="shared" si="4"/>
        <v>415.12499999999994</v>
      </c>
      <c r="G97" s="103">
        <f t="shared" si="7"/>
        <v>840</v>
      </c>
      <c r="H97" s="103">
        <f t="shared" si="5"/>
        <v>56</v>
      </c>
    </row>
    <row r="98" spans="1:8" ht="21" x14ac:dyDescent="0.4">
      <c r="A98" s="107" t="s">
        <v>106</v>
      </c>
      <c r="B98" s="107">
        <v>1</v>
      </c>
      <c r="C98" s="108">
        <v>45026</v>
      </c>
      <c r="D98" s="100">
        <v>2023</v>
      </c>
      <c r="E98" s="104">
        <f t="shared" si="6"/>
        <v>430.12499999999994</v>
      </c>
      <c r="F98" s="102">
        <f t="shared" si="4"/>
        <v>429.12499999999994</v>
      </c>
      <c r="G98" s="103">
        <f t="shared" si="7"/>
        <v>855</v>
      </c>
      <c r="H98" s="103">
        <f t="shared" si="5"/>
        <v>57</v>
      </c>
    </row>
    <row r="99" spans="1:8" ht="21" x14ac:dyDescent="0.4">
      <c r="A99" s="107" t="s">
        <v>106</v>
      </c>
      <c r="B99" s="107">
        <v>1</v>
      </c>
      <c r="C99" s="108">
        <v>45027</v>
      </c>
      <c r="D99" s="100">
        <v>2023</v>
      </c>
      <c r="E99" s="104">
        <f t="shared" si="6"/>
        <v>444.12499999999994</v>
      </c>
      <c r="F99" s="102">
        <f t="shared" si="4"/>
        <v>443.12499999999994</v>
      </c>
      <c r="G99" s="103">
        <f t="shared" si="7"/>
        <v>870</v>
      </c>
      <c r="H99" s="103">
        <f t="shared" si="5"/>
        <v>58</v>
      </c>
    </row>
    <row r="100" spans="1:8" ht="21" x14ac:dyDescent="0.4">
      <c r="A100" s="107" t="s">
        <v>106</v>
      </c>
      <c r="B100" s="107">
        <v>3</v>
      </c>
      <c r="C100" s="108">
        <v>45028</v>
      </c>
      <c r="D100" s="100">
        <v>2023</v>
      </c>
      <c r="E100" s="104">
        <f t="shared" si="6"/>
        <v>458.12499999999994</v>
      </c>
      <c r="F100" s="102">
        <f t="shared" si="4"/>
        <v>455.12499999999994</v>
      </c>
      <c r="G100" s="103">
        <f t="shared" si="7"/>
        <v>885</v>
      </c>
      <c r="H100" s="103">
        <f t="shared" si="5"/>
        <v>59</v>
      </c>
    </row>
    <row r="101" spans="1:8" ht="21" x14ac:dyDescent="0.4">
      <c r="A101" s="107" t="s">
        <v>106</v>
      </c>
      <c r="B101" s="107">
        <v>7.5</v>
      </c>
      <c r="C101" s="108">
        <v>45028</v>
      </c>
      <c r="D101" s="100">
        <v>2023</v>
      </c>
      <c r="E101" s="104">
        <f t="shared" si="6"/>
        <v>455.12499999999994</v>
      </c>
      <c r="F101" s="102">
        <f t="shared" si="4"/>
        <v>447.62499999999994</v>
      </c>
      <c r="G101" s="103">
        <f t="shared" si="7"/>
        <v>885</v>
      </c>
      <c r="H101" s="103">
        <f t="shared" si="5"/>
        <v>59</v>
      </c>
    </row>
    <row r="102" spans="1:8" ht="21" x14ac:dyDescent="0.4">
      <c r="A102" s="107" t="s">
        <v>106</v>
      </c>
      <c r="B102" s="107">
        <v>1</v>
      </c>
      <c r="C102" s="108">
        <v>45028</v>
      </c>
      <c r="D102" s="100">
        <v>2023</v>
      </c>
      <c r="E102" s="104">
        <f t="shared" si="6"/>
        <v>447.62499999999994</v>
      </c>
      <c r="F102" s="102">
        <f t="shared" si="4"/>
        <v>446.62499999999994</v>
      </c>
      <c r="G102" s="103">
        <f t="shared" si="7"/>
        <v>885</v>
      </c>
      <c r="H102" s="103">
        <f t="shared" si="5"/>
        <v>59</v>
      </c>
    </row>
    <row r="103" spans="1:8" ht="21" x14ac:dyDescent="0.4">
      <c r="A103" s="107" t="s">
        <v>106</v>
      </c>
      <c r="B103" s="107">
        <v>19.989999999999998</v>
      </c>
      <c r="C103" s="108">
        <v>45029</v>
      </c>
      <c r="D103" s="100">
        <v>2023</v>
      </c>
      <c r="E103" s="104">
        <f t="shared" si="6"/>
        <v>461.62499999999994</v>
      </c>
      <c r="F103" s="102">
        <f t="shared" si="4"/>
        <v>441.63499999999993</v>
      </c>
      <c r="G103" s="103">
        <f t="shared" si="7"/>
        <v>900</v>
      </c>
      <c r="H103" s="103">
        <f t="shared" si="5"/>
        <v>60</v>
      </c>
    </row>
    <row r="104" spans="1:8" ht="21" x14ac:dyDescent="0.4">
      <c r="A104" s="107" t="s">
        <v>106</v>
      </c>
      <c r="B104" s="107">
        <v>0.4</v>
      </c>
      <c r="C104" s="108">
        <v>45030</v>
      </c>
      <c r="D104" s="100">
        <v>2023</v>
      </c>
      <c r="E104" s="104">
        <f t="shared" si="6"/>
        <v>456.63499999999993</v>
      </c>
      <c r="F104" s="102">
        <f t="shared" si="4"/>
        <v>456.23499999999996</v>
      </c>
      <c r="G104" s="103">
        <f t="shared" si="7"/>
        <v>915</v>
      </c>
      <c r="H104" s="103">
        <f t="shared" si="5"/>
        <v>61</v>
      </c>
    </row>
    <row r="105" spans="1:8" ht="21" x14ac:dyDescent="0.4">
      <c r="A105" s="107" t="s">
        <v>106</v>
      </c>
      <c r="B105" s="107">
        <v>7.5</v>
      </c>
      <c r="C105" s="108">
        <v>45031</v>
      </c>
      <c r="D105" s="100">
        <v>2023</v>
      </c>
      <c r="E105" s="104">
        <f t="shared" si="6"/>
        <v>471.23499999999996</v>
      </c>
      <c r="F105" s="102">
        <f t="shared" si="4"/>
        <v>463.73499999999996</v>
      </c>
      <c r="G105" s="103">
        <f t="shared" si="7"/>
        <v>930</v>
      </c>
      <c r="H105" s="103">
        <f t="shared" si="5"/>
        <v>62</v>
      </c>
    </row>
    <row r="106" spans="1:8" ht="21" x14ac:dyDescent="0.4">
      <c r="A106" s="107" t="s">
        <v>106</v>
      </c>
      <c r="B106" s="107">
        <v>4</v>
      </c>
      <c r="C106" s="108">
        <v>45031</v>
      </c>
      <c r="D106" s="100">
        <v>2023</v>
      </c>
      <c r="E106" s="104">
        <f t="shared" si="6"/>
        <v>463.73499999999996</v>
      </c>
      <c r="F106" s="102">
        <f t="shared" si="4"/>
        <v>459.73499999999996</v>
      </c>
      <c r="G106" s="103">
        <f t="shared" si="7"/>
        <v>930</v>
      </c>
      <c r="H106" s="103">
        <f t="shared" si="5"/>
        <v>62</v>
      </c>
    </row>
    <row r="107" spans="1:8" ht="21" x14ac:dyDescent="0.4">
      <c r="A107" s="107" t="s">
        <v>120</v>
      </c>
      <c r="B107" s="107">
        <v>0</v>
      </c>
      <c r="C107" s="108">
        <v>45032</v>
      </c>
      <c r="D107" s="100">
        <v>2023</v>
      </c>
      <c r="E107" s="104">
        <f t="shared" si="6"/>
        <v>474.73499999999996</v>
      </c>
      <c r="F107" s="102">
        <f t="shared" si="4"/>
        <v>474.73499999999996</v>
      </c>
      <c r="G107" s="103">
        <f t="shared" si="7"/>
        <v>945</v>
      </c>
      <c r="H107" s="103">
        <f t="shared" si="5"/>
        <v>63</v>
      </c>
    </row>
    <row r="108" spans="1:8" ht="21" x14ac:dyDescent="0.4">
      <c r="A108" s="108" t="s">
        <v>120</v>
      </c>
      <c r="B108" s="107">
        <v>0</v>
      </c>
      <c r="C108" s="108">
        <v>45033</v>
      </c>
      <c r="D108" s="100">
        <v>2023</v>
      </c>
      <c r="E108" s="104">
        <f t="shared" si="6"/>
        <v>489.73499999999996</v>
      </c>
      <c r="F108" s="102">
        <f t="shared" si="4"/>
        <v>489.73499999999996</v>
      </c>
      <c r="G108" s="103">
        <f t="shared" si="7"/>
        <v>960</v>
      </c>
      <c r="H108" s="103">
        <f t="shared" si="5"/>
        <v>64</v>
      </c>
    </row>
    <row r="109" spans="1:8" ht="21" x14ac:dyDescent="0.4">
      <c r="A109" s="108" t="s">
        <v>106</v>
      </c>
      <c r="B109" s="107">
        <v>9</v>
      </c>
      <c r="C109" s="108">
        <v>45034</v>
      </c>
      <c r="D109" s="100">
        <v>2023</v>
      </c>
      <c r="E109" s="104">
        <f t="shared" si="6"/>
        <v>504.73499999999996</v>
      </c>
      <c r="F109" s="102">
        <f t="shared" si="4"/>
        <v>495.73499999999996</v>
      </c>
      <c r="G109" s="103">
        <f t="shared" si="7"/>
        <v>975</v>
      </c>
      <c r="H109" s="103">
        <f t="shared" si="5"/>
        <v>65</v>
      </c>
    </row>
    <row r="110" spans="1:8" ht="21" x14ac:dyDescent="0.4">
      <c r="A110" s="108" t="s">
        <v>106</v>
      </c>
      <c r="B110" s="107">
        <v>1</v>
      </c>
      <c r="C110" s="108">
        <v>45034</v>
      </c>
      <c r="D110" s="100">
        <v>2023</v>
      </c>
      <c r="E110" s="104">
        <f t="shared" si="6"/>
        <v>495.73499999999996</v>
      </c>
      <c r="F110" s="102">
        <f t="shared" si="4"/>
        <v>494.73499999999996</v>
      </c>
      <c r="G110" s="103">
        <f t="shared" si="7"/>
        <v>975</v>
      </c>
      <c r="H110" s="103">
        <f t="shared" si="5"/>
        <v>65</v>
      </c>
    </row>
    <row r="111" spans="1:8" ht="21" x14ac:dyDescent="0.4">
      <c r="A111" s="108" t="s">
        <v>106</v>
      </c>
      <c r="B111" s="107">
        <v>1</v>
      </c>
      <c r="C111" s="108">
        <v>45035</v>
      </c>
      <c r="D111" s="100">
        <v>2023</v>
      </c>
      <c r="E111" s="104">
        <f t="shared" si="6"/>
        <v>509.73499999999996</v>
      </c>
      <c r="F111" s="102">
        <f t="shared" si="4"/>
        <v>508.73499999999996</v>
      </c>
      <c r="G111" s="103">
        <f t="shared" si="7"/>
        <v>990</v>
      </c>
      <c r="H111" s="103">
        <f t="shared" si="5"/>
        <v>66</v>
      </c>
    </row>
    <row r="112" spans="1:8" ht="21" x14ac:dyDescent="0.4">
      <c r="A112" s="108" t="s">
        <v>106</v>
      </c>
      <c r="B112" s="107">
        <v>7</v>
      </c>
      <c r="C112" s="108">
        <v>45036</v>
      </c>
      <c r="D112" s="100">
        <v>2023</v>
      </c>
      <c r="E112" s="104">
        <f t="shared" si="6"/>
        <v>523.7349999999999</v>
      </c>
      <c r="F112" s="102">
        <f t="shared" si="4"/>
        <v>516.7349999999999</v>
      </c>
      <c r="G112" s="103">
        <f t="shared" si="7"/>
        <v>1005</v>
      </c>
      <c r="H112" s="103">
        <f t="shared" si="5"/>
        <v>67</v>
      </c>
    </row>
    <row r="113" spans="1:8" ht="21" x14ac:dyDescent="0.4">
      <c r="A113" s="108" t="s">
        <v>106</v>
      </c>
      <c r="B113" s="107">
        <v>5.95</v>
      </c>
      <c r="C113" s="108">
        <v>45037</v>
      </c>
      <c r="D113" s="100">
        <v>2023</v>
      </c>
      <c r="E113" s="104">
        <f t="shared" si="6"/>
        <v>531.7349999999999</v>
      </c>
      <c r="F113" s="102">
        <f t="shared" si="4"/>
        <v>525.78499999999985</v>
      </c>
      <c r="G113" s="103">
        <f t="shared" si="7"/>
        <v>1020</v>
      </c>
      <c r="H113" s="103">
        <f t="shared" si="5"/>
        <v>68</v>
      </c>
    </row>
    <row r="114" spans="1:8" ht="21" x14ac:dyDescent="0.4">
      <c r="A114" s="108" t="s">
        <v>106</v>
      </c>
      <c r="B114" s="107">
        <v>29.15</v>
      </c>
      <c r="C114" s="108">
        <v>45038</v>
      </c>
      <c r="D114" s="100">
        <v>2023</v>
      </c>
      <c r="E114" s="104">
        <f t="shared" si="6"/>
        <v>540.78499999999985</v>
      </c>
      <c r="F114" s="102">
        <f t="shared" si="4"/>
        <v>511.63499999999988</v>
      </c>
      <c r="G114" s="103">
        <f t="shared" si="7"/>
        <v>1035</v>
      </c>
      <c r="H114" s="103">
        <f t="shared" si="5"/>
        <v>69</v>
      </c>
    </row>
    <row r="115" spans="1:8" ht="21" x14ac:dyDescent="0.4">
      <c r="A115" s="108" t="s">
        <v>106</v>
      </c>
      <c r="B115" s="107">
        <v>1</v>
      </c>
      <c r="C115" s="108">
        <v>45038</v>
      </c>
      <c r="D115" s="100">
        <v>2023</v>
      </c>
      <c r="E115" s="104">
        <f t="shared" si="6"/>
        <v>511.63499999999988</v>
      </c>
      <c r="F115" s="102">
        <f t="shared" si="4"/>
        <v>510.63499999999988</v>
      </c>
      <c r="G115" s="103">
        <f t="shared" si="7"/>
        <v>1035</v>
      </c>
      <c r="H115" s="103">
        <f t="shared" si="5"/>
        <v>69</v>
      </c>
    </row>
    <row r="116" spans="1:8" ht="21" x14ac:dyDescent="0.4">
      <c r="A116" s="108" t="s">
        <v>14</v>
      </c>
      <c r="B116" s="107">
        <v>16.16</v>
      </c>
      <c r="C116" s="108">
        <v>45039</v>
      </c>
      <c r="D116" s="100">
        <v>2023</v>
      </c>
      <c r="E116" s="104">
        <f t="shared" si="6"/>
        <v>525.63499999999988</v>
      </c>
      <c r="F116" s="102">
        <f t="shared" si="4"/>
        <v>509.47499999999985</v>
      </c>
      <c r="G116" s="103">
        <f t="shared" si="7"/>
        <v>1050</v>
      </c>
      <c r="H116" s="103">
        <f t="shared" si="5"/>
        <v>70</v>
      </c>
    </row>
    <row r="117" spans="1:8" ht="21" x14ac:dyDescent="0.4">
      <c r="A117" s="108" t="s">
        <v>14</v>
      </c>
      <c r="B117" s="107">
        <v>10.65</v>
      </c>
      <c r="C117" s="108">
        <v>45039</v>
      </c>
      <c r="D117" s="100">
        <v>2023</v>
      </c>
      <c r="E117" s="104">
        <f t="shared" si="6"/>
        <v>509.47499999999985</v>
      </c>
      <c r="F117" s="102">
        <f t="shared" si="4"/>
        <v>498.82499999999987</v>
      </c>
      <c r="G117" s="103">
        <f t="shared" si="7"/>
        <v>1050</v>
      </c>
      <c r="H117" s="103">
        <f t="shared" si="5"/>
        <v>70</v>
      </c>
    </row>
    <row r="118" spans="1:8" ht="21" x14ac:dyDescent="0.4">
      <c r="A118" s="108" t="s">
        <v>14</v>
      </c>
      <c r="B118" s="107">
        <v>8.5</v>
      </c>
      <c r="C118" s="108">
        <v>45040</v>
      </c>
      <c r="D118" s="100">
        <v>2023</v>
      </c>
      <c r="E118" s="104">
        <f t="shared" si="6"/>
        <v>513.82499999999982</v>
      </c>
      <c r="F118" s="102">
        <f t="shared" si="4"/>
        <v>505.32499999999982</v>
      </c>
      <c r="G118" s="103">
        <f t="shared" si="7"/>
        <v>1065</v>
      </c>
      <c r="H118" s="103">
        <f t="shared" si="5"/>
        <v>71</v>
      </c>
    </row>
    <row r="119" spans="1:8" ht="21" x14ac:dyDescent="0.4">
      <c r="A119" s="108" t="s">
        <v>14</v>
      </c>
      <c r="B119" s="107">
        <v>7.625</v>
      </c>
      <c r="C119" s="108">
        <v>45040</v>
      </c>
      <c r="D119" s="100">
        <v>2023</v>
      </c>
      <c r="E119" s="104">
        <f t="shared" si="6"/>
        <v>505.32499999999982</v>
      </c>
      <c r="F119" s="102">
        <f t="shared" si="4"/>
        <v>497.69999999999982</v>
      </c>
      <c r="G119" s="103">
        <f t="shared" si="7"/>
        <v>1065</v>
      </c>
      <c r="H119" s="103">
        <f t="shared" si="5"/>
        <v>71</v>
      </c>
    </row>
    <row r="120" spans="1:8" ht="21" x14ac:dyDescent="0.4">
      <c r="A120" s="108" t="s">
        <v>106</v>
      </c>
      <c r="B120" s="107">
        <v>1</v>
      </c>
      <c r="C120" s="108">
        <v>45040</v>
      </c>
      <c r="D120" s="100">
        <v>2023</v>
      </c>
      <c r="E120" s="104">
        <f t="shared" si="6"/>
        <v>497.69999999999982</v>
      </c>
      <c r="F120" s="102">
        <f t="shared" si="4"/>
        <v>496.69999999999982</v>
      </c>
      <c r="G120" s="103">
        <f t="shared" si="7"/>
        <v>1065</v>
      </c>
      <c r="H120" s="103">
        <f t="shared" si="5"/>
        <v>71</v>
      </c>
    </row>
    <row r="121" spans="1:8" ht="21" x14ac:dyDescent="0.4">
      <c r="A121" s="108" t="s">
        <v>106</v>
      </c>
      <c r="B121" s="107">
        <v>17.54</v>
      </c>
      <c r="C121" s="108">
        <v>45041</v>
      </c>
      <c r="D121" s="100">
        <v>2023</v>
      </c>
      <c r="E121" s="104">
        <f t="shared" si="6"/>
        <v>511.69999999999982</v>
      </c>
      <c r="F121" s="102">
        <f t="shared" si="4"/>
        <v>494.1599999999998</v>
      </c>
      <c r="G121" s="103">
        <f t="shared" si="7"/>
        <v>1080</v>
      </c>
      <c r="H121" s="103">
        <f t="shared" si="5"/>
        <v>72</v>
      </c>
    </row>
    <row r="122" spans="1:8" ht="21" x14ac:dyDescent="0.4">
      <c r="A122" s="108" t="s">
        <v>106</v>
      </c>
      <c r="B122" s="107">
        <v>7.5</v>
      </c>
      <c r="C122" s="108">
        <v>45042</v>
      </c>
      <c r="D122" s="100">
        <v>2023</v>
      </c>
      <c r="E122" s="104">
        <f t="shared" si="6"/>
        <v>509.1599999999998</v>
      </c>
      <c r="F122" s="102">
        <f t="shared" si="4"/>
        <v>501.6599999999998</v>
      </c>
      <c r="G122" s="103">
        <f t="shared" si="7"/>
        <v>1095</v>
      </c>
      <c r="H122" s="103">
        <f t="shared" si="5"/>
        <v>73</v>
      </c>
    </row>
    <row r="123" spans="1:8" ht="21" x14ac:dyDescent="0.4">
      <c r="A123" s="108" t="s">
        <v>106</v>
      </c>
      <c r="B123" s="107">
        <v>6.25</v>
      </c>
      <c r="C123" s="108">
        <v>45043</v>
      </c>
      <c r="D123" s="100">
        <v>2023</v>
      </c>
      <c r="E123" s="104">
        <f t="shared" si="6"/>
        <v>516.65999999999985</v>
      </c>
      <c r="F123" s="102">
        <f t="shared" si="4"/>
        <v>510.40999999999985</v>
      </c>
      <c r="G123" s="103">
        <f t="shared" si="7"/>
        <v>1110</v>
      </c>
      <c r="H123" s="103">
        <f t="shared" si="5"/>
        <v>74</v>
      </c>
    </row>
    <row r="124" spans="1:8" ht="21" x14ac:dyDescent="0.4">
      <c r="A124" s="108" t="s">
        <v>106</v>
      </c>
      <c r="B124" s="107">
        <v>1</v>
      </c>
      <c r="C124" s="108">
        <v>45043</v>
      </c>
      <c r="D124" s="100">
        <v>2023</v>
      </c>
      <c r="E124" s="104">
        <f t="shared" si="6"/>
        <v>510.40999999999985</v>
      </c>
      <c r="F124" s="102">
        <f t="shared" si="4"/>
        <v>509.40999999999985</v>
      </c>
      <c r="G124" s="103">
        <f t="shared" si="7"/>
        <v>1110</v>
      </c>
      <c r="H124" s="103">
        <f t="shared" si="5"/>
        <v>74</v>
      </c>
    </row>
    <row r="125" spans="1:8" ht="21" x14ac:dyDescent="0.4">
      <c r="A125" s="108" t="s">
        <v>106</v>
      </c>
      <c r="B125" s="107">
        <v>1</v>
      </c>
      <c r="C125" s="108">
        <v>45044</v>
      </c>
      <c r="D125" s="100">
        <v>2023</v>
      </c>
      <c r="E125" s="104">
        <f t="shared" si="6"/>
        <v>524.40999999999985</v>
      </c>
      <c r="F125" s="102">
        <f t="shared" si="4"/>
        <v>523.40999999999985</v>
      </c>
      <c r="G125" s="103">
        <f t="shared" si="7"/>
        <v>1125</v>
      </c>
      <c r="H125" s="103">
        <f t="shared" si="5"/>
        <v>75</v>
      </c>
    </row>
    <row r="126" spans="1:8" ht="21" x14ac:dyDescent="0.4">
      <c r="A126" s="108" t="s">
        <v>106</v>
      </c>
      <c r="B126" s="107">
        <v>7.5</v>
      </c>
      <c r="C126" s="108">
        <v>45044</v>
      </c>
      <c r="D126" s="100">
        <v>2023</v>
      </c>
      <c r="E126" s="104">
        <f t="shared" si="6"/>
        <v>523.40999999999985</v>
      </c>
      <c r="F126" s="102">
        <f t="shared" si="4"/>
        <v>515.90999999999985</v>
      </c>
      <c r="G126" s="103">
        <f t="shared" si="7"/>
        <v>1125</v>
      </c>
      <c r="H126" s="103">
        <f t="shared" si="5"/>
        <v>75</v>
      </c>
    </row>
    <row r="127" spans="1:8" ht="21" x14ac:dyDescent="0.4">
      <c r="A127" s="108" t="s">
        <v>106</v>
      </c>
      <c r="B127" s="107">
        <v>8</v>
      </c>
      <c r="C127" s="108">
        <v>45045</v>
      </c>
      <c r="D127" s="100">
        <v>2023</v>
      </c>
      <c r="E127" s="104">
        <f t="shared" si="6"/>
        <v>530.90999999999985</v>
      </c>
      <c r="F127" s="102">
        <f t="shared" si="4"/>
        <v>522.90999999999985</v>
      </c>
      <c r="G127" s="103">
        <f t="shared" si="7"/>
        <v>1140</v>
      </c>
      <c r="H127" s="103">
        <f t="shared" si="5"/>
        <v>76</v>
      </c>
    </row>
    <row r="128" spans="1:8" ht="21" x14ac:dyDescent="0.4">
      <c r="A128" s="108" t="s">
        <v>106</v>
      </c>
      <c r="B128" s="107">
        <v>21</v>
      </c>
      <c r="C128" s="108">
        <v>45046</v>
      </c>
      <c r="D128" s="100">
        <v>2023</v>
      </c>
      <c r="E128" s="104">
        <f t="shared" si="6"/>
        <v>537.90999999999985</v>
      </c>
      <c r="F128" s="102">
        <f t="shared" si="4"/>
        <v>516.90999999999985</v>
      </c>
      <c r="G128" s="103">
        <f t="shared" si="7"/>
        <v>1155</v>
      </c>
      <c r="H128" s="103">
        <f t="shared" si="5"/>
        <v>77</v>
      </c>
    </row>
    <row r="129" spans="1:8" ht="21" x14ac:dyDescent="0.4">
      <c r="A129" s="109" t="s">
        <v>120</v>
      </c>
      <c r="B129" s="110">
        <v>0</v>
      </c>
      <c r="C129" s="109">
        <v>45047</v>
      </c>
      <c r="D129" s="100">
        <v>2023</v>
      </c>
      <c r="E129" s="104">
        <f t="shared" si="6"/>
        <v>531.90999999999985</v>
      </c>
      <c r="F129" s="102">
        <f t="shared" si="4"/>
        <v>531.90999999999985</v>
      </c>
      <c r="G129" s="103">
        <f t="shared" si="7"/>
        <v>1170</v>
      </c>
      <c r="H129" s="103">
        <f t="shared" si="5"/>
        <v>78</v>
      </c>
    </row>
    <row r="130" spans="1:8" ht="21" x14ac:dyDescent="0.4">
      <c r="A130" s="109" t="s">
        <v>106</v>
      </c>
      <c r="B130" s="110">
        <v>10.62</v>
      </c>
      <c r="C130" s="109">
        <v>45048</v>
      </c>
      <c r="D130" s="100">
        <v>2023</v>
      </c>
      <c r="E130" s="104">
        <f t="shared" si="6"/>
        <v>546.90999999999985</v>
      </c>
      <c r="F130" s="102">
        <f t="shared" si="4"/>
        <v>536.28999999999985</v>
      </c>
      <c r="G130" s="103">
        <f t="shared" si="7"/>
        <v>1185</v>
      </c>
      <c r="H130" s="103">
        <f t="shared" si="5"/>
        <v>79</v>
      </c>
    </row>
    <row r="131" spans="1:8" ht="21" x14ac:dyDescent="0.4">
      <c r="A131" s="109" t="s">
        <v>106</v>
      </c>
      <c r="B131" s="110">
        <v>7.2</v>
      </c>
      <c r="C131" s="109">
        <v>45049</v>
      </c>
      <c r="D131" s="100">
        <v>2023</v>
      </c>
      <c r="E131" s="104">
        <f t="shared" si="6"/>
        <v>551.28999999999985</v>
      </c>
      <c r="F131" s="102">
        <f t="shared" ref="F131:F194" si="8">E131-B131</f>
        <v>544.0899999999998</v>
      </c>
      <c r="G131" s="103">
        <f t="shared" si="7"/>
        <v>1200</v>
      </c>
      <c r="H131" s="103">
        <f t="shared" ref="H131:H194" si="9">G131/15</f>
        <v>80</v>
      </c>
    </row>
    <row r="132" spans="1:8" ht="21" x14ac:dyDescent="0.4">
      <c r="A132" s="109" t="s">
        <v>106</v>
      </c>
      <c r="B132" s="110">
        <v>7.75</v>
      </c>
      <c r="C132" s="109">
        <v>45050</v>
      </c>
      <c r="D132" s="100">
        <v>2023</v>
      </c>
      <c r="E132" s="104">
        <f t="shared" ref="E132:E195" si="10">IF(C132=C131,F131,F131+15)</f>
        <v>559.0899999999998</v>
      </c>
      <c r="F132" s="102">
        <f t="shared" si="8"/>
        <v>551.3399999999998</v>
      </c>
      <c r="G132" s="103">
        <f t="shared" ref="G132:G195" si="11">IF(C132&lt;&gt;C131, 15+G131,G131)</f>
        <v>1215</v>
      </c>
      <c r="H132" s="103">
        <f t="shared" si="9"/>
        <v>81</v>
      </c>
    </row>
    <row r="133" spans="1:8" ht="21" x14ac:dyDescent="0.4">
      <c r="A133" s="109" t="s">
        <v>106</v>
      </c>
      <c r="B133" s="110">
        <v>12.3</v>
      </c>
      <c r="C133" s="109">
        <v>45051</v>
      </c>
      <c r="D133" s="100">
        <v>2023</v>
      </c>
      <c r="E133" s="104">
        <f t="shared" si="10"/>
        <v>566.3399999999998</v>
      </c>
      <c r="F133" s="102">
        <f t="shared" si="8"/>
        <v>554.03999999999985</v>
      </c>
      <c r="G133" s="103">
        <f t="shared" si="11"/>
        <v>1230</v>
      </c>
      <c r="H133" s="103">
        <f t="shared" si="9"/>
        <v>82</v>
      </c>
    </row>
    <row r="134" spans="1:8" ht="21" x14ac:dyDescent="0.4">
      <c r="A134" s="109" t="s">
        <v>14</v>
      </c>
      <c r="B134" s="110">
        <v>35.659999999999997</v>
      </c>
      <c r="C134" s="109">
        <v>45052</v>
      </c>
      <c r="D134" s="100">
        <v>2023</v>
      </c>
      <c r="E134" s="104">
        <f t="shared" si="10"/>
        <v>569.03999999999985</v>
      </c>
      <c r="F134" s="102">
        <f t="shared" si="8"/>
        <v>533.37999999999988</v>
      </c>
      <c r="G134" s="103">
        <f t="shared" si="11"/>
        <v>1245</v>
      </c>
      <c r="H134" s="103">
        <f t="shared" si="9"/>
        <v>83</v>
      </c>
    </row>
    <row r="135" spans="1:8" ht="21" x14ac:dyDescent="0.4">
      <c r="A135" s="109" t="s">
        <v>106</v>
      </c>
      <c r="B135" s="110">
        <v>1</v>
      </c>
      <c r="C135" s="109">
        <v>45053</v>
      </c>
      <c r="D135" s="100">
        <v>2023</v>
      </c>
      <c r="E135" s="104">
        <f t="shared" si="10"/>
        <v>548.37999999999988</v>
      </c>
      <c r="F135" s="102">
        <f t="shared" si="8"/>
        <v>547.37999999999988</v>
      </c>
      <c r="G135" s="103">
        <f t="shared" si="11"/>
        <v>1260</v>
      </c>
      <c r="H135" s="103">
        <f t="shared" si="9"/>
        <v>84</v>
      </c>
    </row>
    <row r="136" spans="1:8" ht="21" x14ac:dyDescent="0.4">
      <c r="A136" s="109" t="s">
        <v>120</v>
      </c>
      <c r="B136" s="110">
        <v>0</v>
      </c>
      <c r="C136" s="109">
        <v>45054</v>
      </c>
      <c r="D136" s="100">
        <v>2023</v>
      </c>
      <c r="E136" s="104">
        <f t="shared" si="10"/>
        <v>562.37999999999988</v>
      </c>
      <c r="F136" s="102">
        <f t="shared" si="8"/>
        <v>562.37999999999988</v>
      </c>
      <c r="G136" s="103">
        <f t="shared" si="11"/>
        <v>1275</v>
      </c>
      <c r="H136" s="103">
        <f t="shared" si="9"/>
        <v>85</v>
      </c>
    </row>
    <row r="137" spans="1:8" ht="21" x14ac:dyDescent="0.4">
      <c r="A137" s="109" t="s">
        <v>120</v>
      </c>
      <c r="B137" s="110">
        <v>0</v>
      </c>
      <c r="C137" s="109">
        <v>45055</v>
      </c>
      <c r="D137" s="100">
        <v>2023</v>
      </c>
      <c r="E137" s="104">
        <f t="shared" si="10"/>
        <v>577.37999999999988</v>
      </c>
      <c r="F137" s="102">
        <f t="shared" si="8"/>
        <v>577.37999999999988</v>
      </c>
      <c r="G137" s="103">
        <f t="shared" si="11"/>
        <v>1290</v>
      </c>
      <c r="H137" s="103">
        <f t="shared" si="9"/>
        <v>86</v>
      </c>
    </row>
    <row r="138" spans="1:8" ht="21" x14ac:dyDescent="0.4">
      <c r="A138" s="109" t="s">
        <v>106</v>
      </c>
      <c r="B138" s="110">
        <v>1</v>
      </c>
      <c r="C138" s="109">
        <v>45056</v>
      </c>
      <c r="D138" s="100">
        <v>2023</v>
      </c>
      <c r="E138" s="104">
        <f t="shared" si="10"/>
        <v>592.37999999999988</v>
      </c>
      <c r="F138" s="102">
        <f t="shared" si="8"/>
        <v>591.37999999999988</v>
      </c>
      <c r="G138" s="103">
        <f t="shared" si="11"/>
        <v>1305</v>
      </c>
      <c r="H138" s="103">
        <f t="shared" si="9"/>
        <v>87</v>
      </c>
    </row>
    <row r="139" spans="1:8" ht="21" x14ac:dyDescent="0.4">
      <c r="A139" s="109" t="s">
        <v>106</v>
      </c>
      <c r="B139" s="110">
        <v>7.5</v>
      </c>
      <c r="C139" s="109">
        <v>45057</v>
      </c>
      <c r="D139" s="100">
        <v>2023</v>
      </c>
      <c r="E139" s="104">
        <f t="shared" si="10"/>
        <v>606.37999999999988</v>
      </c>
      <c r="F139" s="102">
        <f t="shared" si="8"/>
        <v>598.87999999999988</v>
      </c>
      <c r="G139" s="103">
        <f t="shared" si="11"/>
        <v>1320</v>
      </c>
      <c r="H139" s="103">
        <f t="shared" si="9"/>
        <v>88</v>
      </c>
    </row>
    <row r="140" spans="1:8" ht="21" x14ac:dyDescent="0.4">
      <c r="A140" s="109" t="s">
        <v>106</v>
      </c>
      <c r="B140" s="110">
        <v>4.3499999999999996</v>
      </c>
      <c r="C140" s="109">
        <v>45058</v>
      </c>
      <c r="D140" s="100">
        <v>2023</v>
      </c>
      <c r="E140" s="104">
        <f t="shared" si="10"/>
        <v>613.87999999999988</v>
      </c>
      <c r="F140" s="102">
        <f t="shared" si="8"/>
        <v>609.52999999999986</v>
      </c>
      <c r="G140" s="103">
        <f t="shared" si="11"/>
        <v>1335</v>
      </c>
      <c r="H140" s="103">
        <f t="shared" si="9"/>
        <v>89</v>
      </c>
    </row>
    <row r="141" spans="1:8" ht="21" x14ac:dyDescent="0.4">
      <c r="A141" s="109" t="s">
        <v>114</v>
      </c>
      <c r="B141" s="110">
        <v>40.4</v>
      </c>
      <c r="C141" s="109">
        <v>45058</v>
      </c>
      <c r="D141" s="100">
        <v>2023</v>
      </c>
      <c r="E141" s="104">
        <f t="shared" si="10"/>
        <v>609.52999999999986</v>
      </c>
      <c r="F141" s="102">
        <f t="shared" si="8"/>
        <v>569.12999999999988</v>
      </c>
      <c r="G141" s="103">
        <f t="shared" si="11"/>
        <v>1335</v>
      </c>
      <c r="H141" s="103">
        <f t="shared" si="9"/>
        <v>89</v>
      </c>
    </row>
    <row r="142" spans="1:8" ht="21" x14ac:dyDescent="0.4">
      <c r="A142" s="109" t="s">
        <v>106</v>
      </c>
      <c r="B142" s="110">
        <v>1</v>
      </c>
      <c r="C142" s="109">
        <v>45059</v>
      </c>
      <c r="D142" s="100">
        <v>2023</v>
      </c>
      <c r="E142" s="104">
        <f t="shared" si="10"/>
        <v>584.12999999999988</v>
      </c>
      <c r="F142" s="102">
        <f t="shared" si="8"/>
        <v>583.12999999999988</v>
      </c>
      <c r="G142" s="103">
        <f t="shared" si="11"/>
        <v>1350</v>
      </c>
      <c r="H142" s="103">
        <f t="shared" si="9"/>
        <v>90</v>
      </c>
    </row>
    <row r="143" spans="1:8" ht="21" x14ac:dyDescent="0.4">
      <c r="A143" s="109" t="s">
        <v>106</v>
      </c>
      <c r="B143" s="110">
        <v>10</v>
      </c>
      <c r="C143" s="109">
        <v>45060</v>
      </c>
      <c r="D143" s="100">
        <v>2023</v>
      </c>
      <c r="E143" s="104">
        <f t="shared" si="10"/>
        <v>598.12999999999988</v>
      </c>
      <c r="F143" s="102">
        <f t="shared" si="8"/>
        <v>588.12999999999988</v>
      </c>
      <c r="G143" s="103">
        <f t="shared" si="11"/>
        <v>1365</v>
      </c>
      <c r="H143" s="103">
        <f t="shared" si="9"/>
        <v>91</v>
      </c>
    </row>
    <row r="144" spans="1:8" ht="21" x14ac:dyDescent="0.4">
      <c r="A144" s="109" t="s">
        <v>14</v>
      </c>
      <c r="B144" s="110">
        <v>12</v>
      </c>
      <c r="C144" s="109">
        <v>45060</v>
      </c>
      <c r="D144" s="100">
        <v>2023</v>
      </c>
      <c r="E144" s="104">
        <f t="shared" si="10"/>
        <v>588.12999999999988</v>
      </c>
      <c r="F144" s="102">
        <f t="shared" si="8"/>
        <v>576.12999999999988</v>
      </c>
      <c r="G144" s="103">
        <f t="shared" si="11"/>
        <v>1365</v>
      </c>
      <c r="H144" s="103">
        <f t="shared" si="9"/>
        <v>91</v>
      </c>
    </row>
    <row r="145" spans="1:8" ht="21" x14ac:dyDescent="0.4">
      <c r="A145" s="109" t="s">
        <v>106</v>
      </c>
      <c r="B145" s="110">
        <v>8.5</v>
      </c>
      <c r="C145" s="109">
        <v>45061</v>
      </c>
      <c r="D145" s="100">
        <v>2023</v>
      </c>
      <c r="E145" s="104">
        <f t="shared" si="10"/>
        <v>591.12999999999988</v>
      </c>
      <c r="F145" s="102">
        <f t="shared" si="8"/>
        <v>582.62999999999988</v>
      </c>
      <c r="G145" s="103">
        <f t="shared" si="11"/>
        <v>1380</v>
      </c>
      <c r="H145" s="103">
        <f t="shared" si="9"/>
        <v>92</v>
      </c>
    </row>
    <row r="146" spans="1:8" ht="21" x14ac:dyDescent="0.4">
      <c r="A146" s="109" t="s">
        <v>106</v>
      </c>
      <c r="B146" s="110">
        <v>1.8</v>
      </c>
      <c r="C146" s="109">
        <v>45062</v>
      </c>
      <c r="D146" s="100">
        <v>2023</v>
      </c>
      <c r="E146" s="104">
        <f t="shared" si="10"/>
        <v>597.62999999999988</v>
      </c>
      <c r="F146" s="102">
        <f t="shared" si="8"/>
        <v>595.82999999999993</v>
      </c>
      <c r="G146" s="103">
        <f t="shared" si="11"/>
        <v>1395</v>
      </c>
      <c r="H146" s="103">
        <f t="shared" si="9"/>
        <v>93</v>
      </c>
    </row>
    <row r="147" spans="1:8" ht="21" x14ac:dyDescent="0.4">
      <c r="A147" s="109" t="s">
        <v>14</v>
      </c>
      <c r="B147" s="110">
        <v>45.7</v>
      </c>
      <c r="C147" s="109">
        <v>45062</v>
      </c>
      <c r="D147" s="100">
        <v>2023</v>
      </c>
      <c r="E147" s="104">
        <f t="shared" si="10"/>
        <v>595.82999999999993</v>
      </c>
      <c r="F147" s="102">
        <f t="shared" si="8"/>
        <v>550.12999999999988</v>
      </c>
      <c r="G147" s="103">
        <f t="shared" si="11"/>
        <v>1395</v>
      </c>
      <c r="H147" s="103">
        <f t="shared" si="9"/>
        <v>93</v>
      </c>
    </row>
    <row r="148" spans="1:8" ht="21" x14ac:dyDescent="0.4">
      <c r="A148" s="109" t="s">
        <v>106</v>
      </c>
      <c r="B148" s="110">
        <v>1</v>
      </c>
      <c r="C148" s="109">
        <v>45063</v>
      </c>
      <c r="D148" s="100">
        <v>2023</v>
      </c>
      <c r="E148" s="104">
        <f t="shared" si="10"/>
        <v>565.12999999999988</v>
      </c>
      <c r="F148" s="102">
        <f t="shared" si="8"/>
        <v>564.12999999999988</v>
      </c>
      <c r="G148" s="103">
        <f t="shared" si="11"/>
        <v>1410</v>
      </c>
      <c r="H148" s="103">
        <f t="shared" si="9"/>
        <v>94</v>
      </c>
    </row>
    <row r="149" spans="1:8" ht="21" x14ac:dyDescent="0.4">
      <c r="A149" s="109" t="s">
        <v>120</v>
      </c>
      <c r="B149" s="110">
        <v>0</v>
      </c>
      <c r="C149" s="109">
        <v>45064</v>
      </c>
      <c r="D149" s="100">
        <v>2023</v>
      </c>
      <c r="E149" s="104">
        <f t="shared" si="10"/>
        <v>579.12999999999988</v>
      </c>
      <c r="F149" s="102">
        <f t="shared" si="8"/>
        <v>579.12999999999988</v>
      </c>
      <c r="G149" s="103">
        <f t="shared" si="11"/>
        <v>1425</v>
      </c>
      <c r="H149" s="103">
        <f t="shared" si="9"/>
        <v>95</v>
      </c>
    </row>
    <row r="150" spans="1:8" ht="21" x14ac:dyDescent="0.4">
      <c r="A150" s="109" t="s">
        <v>106</v>
      </c>
      <c r="B150" s="110">
        <v>2</v>
      </c>
      <c r="C150" s="109">
        <v>45065</v>
      </c>
      <c r="D150" s="100">
        <v>2023</v>
      </c>
      <c r="E150" s="104">
        <f t="shared" si="10"/>
        <v>594.12999999999988</v>
      </c>
      <c r="F150" s="102">
        <f t="shared" si="8"/>
        <v>592.12999999999988</v>
      </c>
      <c r="G150" s="103">
        <f t="shared" si="11"/>
        <v>1440</v>
      </c>
      <c r="H150" s="103">
        <f t="shared" si="9"/>
        <v>96</v>
      </c>
    </row>
    <row r="151" spans="1:8" ht="21" x14ac:dyDescent="0.4">
      <c r="A151" s="109" t="s">
        <v>120</v>
      </c>
      <c r="B151" s="110">
        <v>0</v>
      </c>
      <c r="C151" s="109">
        <v>45066</v>
      </c>
      <c r="D151" s="100">
        <v>2023</v>
      </c>
      <c r="E151" s="104">
        <f t="shared" si="10"/>
        <v>607.12999999999988</v>
      </c>
      <c r="F151" s="102">
        <f t="shared" si="8"/>
        <v>607.12999999999988</v>
      </c>
      <c r="G151" s="103">
        <f t="shared" si="11"/>
        <v>1455</v>
      </c>
      <c r="H151" s="103">
        <f t="shared" si="9"/>
        <v>97</v>
      </c>
    </row>
    <row r="152" spans="1:8" ht="21" x14ac:dyDescent="0.4">
      <c r="A152" s="109" t="s">
        <v>120</v>
      </c>
      <c r="B152" s="110">
        <v>0</v>
      </c>
      <c r="C152" s="109">
        <v>45067</v>
      </c>
      <c r="D152" s="100">
        <v>2023</v>
      </c>
      <c r="E152" s="104">
        <f t="shared" si="10"/>
        <v>622.12999999999988</v>
      </c>
      <c r="F152" s="102">
        <f t="shared" si="8"/>
        <v>622.12999999999988</v>
      </c>
      <c r="G152" s="103">
        <f t="shared" si="11"/>
        <v>1470</v>
      </c>
      <c r="H152" s="103">
        <f t="shared" si="9"/>
        <v>98</v>
      </c>
    </row>
    <row r="153" spans="1:8" ht="21" x14ac:dyDescent="0.4">
      <c r="A153" s="109" t="s">
        <v>106</v>
      </c>
      <c r="B153" s="110">
        <v>0.8</v>
      </c>
      <c r="C153" s="109">
        <v>45068</v>
      </c>
      <c r="D153" s="100">
        <v>2023</v>
      </c>
      <c r="E153" s="104">
        <f t="shared" si="10"/>
        <v>637.12999999999988</v>
      </c>
      <c r="F153" s="102">
        <f t="shared" si="8"/>
        <v>636.32999999999993</v>
      </c>
      <c r="G153" s="103">
        <f t="shared" si="11"/>
        <v>1485</v>
      </c>
      <c r="H153" s="103">
        <f t="shared" si="9"/>
        <v>99</v>
      </c>
    </row>
    <row r="154" spans="1:8" ht="21" x14ac:dyDescent="0.4">
      <c r="A154" s="109" t="s">
        <v>106</v>
      </c>
      <c r="B154" s="110">
        <v>4</v>
      </c>
      <c r="C154" s="109">
        <v>45068</v>
      </c>
      <c r="D154" s="100">
        <v>2023</v>
      </c>
      <c r="E154" s="104">
        <f t="shared" si="10"/>
        <v>636.32999999999993</v>
      </c>
      <c r="F154" s="102">
        <f t="shared" si="8"/>
        <v>632.32999999999993</v>
      </c>
      <c r="G154" s="103">
        <f t="shared" si="11"/>
        <v>1485</v>
      </c>
      <c r="H154" s="103">
        <f t="shared" si="9"/>
        <v>99</v>
      </c>
    </row>
    <row r="155" spans="1:8" ht="21" x14ac:dyDescent="0.4">
      <c r="A155" s="109" t="s">
        <v>114</v>
      </c>
      <c r="B155" s="110">
        <v>32</v>
      </c>
      <c r="C155" s="109">
        <v>45068</v>
      </c>
      <c r="D155" s="100">
        <v>2023</v>
      </c>
      <c r="E155" s="104">
        <f t="shared" si="10"/>
        <v>632.32999999999993</v>
      </c>
      <c r="F155" s="102">
        <f t="shared" si="8"/>
        <v>600.32999999999993</v>
      </c>
      <c r="G155" s="103">
        <f t="shared" si="11"/>
        <v>1485</v>
      </c>
      <c r="H155" s="103">
        <f t="shared" si="9"/>
        <v>99</v>
      </c>
    </row>
    <row r="156" spans="1:8" ht="21" x14ac:dyDescent="0.4">
      <c r="A156" s="109" t="s">
        <v>106</v>
      </c>
      <c r="B156" s="110">
        <v>2</v>
      </c>
      <c r="C156" s="109">
        <v>45069</v>
      </c>
      <c r="D156" s="100">
        <v>2023</v>
      </c>
      <c r="E156" s="104">
        <f t="shared" si="10"/>
        <v>615.32999999999993</v>
      </c>
      <c r="F156" s="102">
        <f t="shared" si="8"/>
        <v>613.32999999999993</v>
      </c>
      <c r="G156" s="103">
        <f t="shared" si="11"/>
        <v>1500</v>
      </c>
      <c r="H156" s="103">
        <f t="shared" si="9"/>
        <v>100</v>
      </c>
    </row>
    <row r="157" spans="1:8" ht="21" x14ac:dyDescent="0.4">
      <c r="A157" s="109" t="s">
        <v>14</v>
      </c>
      <c r="B157" s="110">
        <v>15</v>
      </c>
      <c r="C157" s="109">
        <v>45070</v>
      </c>
      <c r="D157" s="100">
        <v>2023</v>
      </c>
      <c r="E157" s="104">
        <f t="shared" si="10"/>
        <v>628.32999999999993</v>
      </c>
      <c r="F157" s="102">
        <f t="shared" si="8"/>
        <v>613.32999999999993</v>
      </c>
      <c r="G157" s="103">
        <f t="shared" si="11"/>
        <v>1515</v>
      </c>
      <c r="H157" s="103">
        <f t="shared" si="9"/>
        <v>101</v>
      </c>
    </row>
    <row r="158" spans="1:8" ht="21" x14ac:dyDescent="0.4">
      <c r="A158" s="109" t="s">
        <v>14</v>
      </c>
      <c r="B158" s="110">
        <v>30.25</v>
      </c>
      <c r="C158" s="109">
        <v>45070</v>
      </c>
      <c r="D158" s="100">
        <v>2023</v>
      </c>
      <c r="E158" s="104">
        <f t="shared" si="10"/>
        <v>613.32999999999993</v>
      </c>
      <c r="F158" s="102">
        <f t="shared" si="8"/>
        <v>583.07999999999993</v>
      </c>
      <c r="G158" s="103">
        <f t="shared" si="11"/>
        <v>1515</v>
      </c>
      <c r="H158" s="103">
        <f t="shared" si="9"/>
        <v>101</v>
      </c>
    </row>
    <row r="159" spans="1:8" ht="21" x14ac:dyDescent="0.4">
      <c r="A159" s="109" t="s">
        <v>106</v>
      </c>
      <c r="B159" s="110">
        <v>3.9</v>
      </c>
      <c r="C159" s="109">
        <v>45071</v>
      </c>
      <c r="D159" s="100">
        <v>2023</v>
      </c>
      <c r="E159" s="104">
        <f t="shared" si="10"/>
        <v>598.07999999999993</v>
      </c>
      <c r="F159" s="102">
        <f t="shared" si="8"/>
        <v>594.17999999999995</v>
      </c>
      <c r="G159" s="103">
        <f t="shared" si="11"/>
        <v>1530</v>
      </c>
      <c r="H159" s="103">
        <f t="shared" si="9"/>
        <v>102</v>
      </c>
    </row>
    <row r="160" spans="1:8" ht="21" x14ac:dyDescent="0.4">
      <c r="A160" s="109" t="s">
        <v>106</v>
      </c>
      <c r="B160" s="110">
        <v>1</v>
      </c>
      <c r="C160" s="109">
        <v>45072</v>
      </c>
      <c r="D160" s="100">
        <v>2023</v>
      </c>
      <c r="E160" s="104">
        <f t="shared" si="10"/>
        <v>609.17999999999995</v>
      </c>
      <c r="F160" s="102">
        <f t="shared" si="8"/>
        <v>608.17999999999995</v>
      </c>
      <c r="G160" s="103">
        <f t="shared" si="11"/>
        <v>1545</v>
      </c>
      <c r="H160" s="103">
        <f t="shared" si="9"/>
        <v>103</v>
      </c>
    </row>
    <row r="161" spans="1:8" ht="21" x14ac:dyDescent="0.4">
      <c r="A161" s="109" t="s">
        <v>120</v>
      </c>
      <c r="B161" s="110">
        <v>0</v>
      </c>
      <c r="C161" s="109">
        <v>45073</v>
      </c>
      <c r="D161" s="100">
        <v>2023</v>
      </c>
      <c r="E161" s="104">
        <f t="shared" si="10"/>
        <v>623.17999999999995</v>
      </c>
      <c r="F161" s="102">
        <f t="shared" si="8"/>
        <v>623.17999999999995</v>
      </c>
      <c r="G161" s="103">
        <f t="shared" si="11"/>
        <v>1560</v>
      </c>
      <c r="H161" s="103">
        <f t="shared" si="9"/>
        <v>104</v>
      </c>
    </row>
    <row r="162" spans="1:8" ht="21" x14ac:dyDescent="0.4">
      <c r="A162" s="109" t="s">
        <v>120</v>
      </c>
      <c r="B162" s="110">
        <v>0</v>
      </c>
      <c r="C162" s="109">
        <v>45074</v>
      </c>
      <c r="D162" s="100">
        <v>2023</v>
      </c>
      <c r="E162" s="104">
        <f t="shared" si="10"/>
        <v>638.17999999999995</v>
      </c>
      <c r="F162" s="102">
        <f t="shared" si="8"/>
        <v>638.17999999999995</v>
      </c>
      <c r="G162" s="103">
        <f t="shared" si="11"/>
        <v>1575</v>
      </c>
      <c r="H162" s="103">
        <f t="shared" si="9"/>
        <v>105</v>
      </c>
    </row>
    <row r="163" spans="1:8" ht="21" x14ac:dyDescent="0.4">
      <c r="A163" s="109" t="s">
        <v>120</v>
      </c>
      <c r="B163" s="110">
        <v>0</v>
      </c>
      <c r="C163" s="109">
        <v>45075</v>
      </c>
      <c r="D163" s="100">
        <v>2023</v>
      </c>
      <c r="E163" s="104">
        <f t="shared" si="10"/>
        <v>653.17999999999995</v>
      </c>
      <c r="F163" s="102">
        <f t="shared" si="8"/>
        <v>653.17999999999995</v>
      </c>
      <c r="G163" s="103">
        <f t="shared" si="11"/>
        <v>1590</v>
      </c>
      <c r="H163" s="103">
        <f t="shared" si="9"/>
        <v>106</v>
      </c>
    </row>
    <row r="164" spans="1:8" ht="21" x14ac:dyDescent="0.4">
      <c r="A164" s="109" t="s">
        <v>106</v>
      </c>
      <c r="B164" s="110">
        <v>7.5</v>
      </c>
      <c r="C164" s="109">
        <v>45076</v>
      </c>
      <c r="D164" s="100">
        <v>2023</v>
      </c>
      <c r="E164" s="104">
        <f t="shared" si="10"/>
        <v>668.18</v>
      </c>
      <c r="F164" s="102">
        <f t="shared" si="8"/>
        <v>660.68</v>
      </c>
      <c r="G164" s="103">
        <f t="shared" si="11"/>
        <v>1605</v>
      </c>
      <c r="H164" s="103">
        <f t="shared" si="9"/>
        <v>107</v>
      </c>
    </row>
    <row r="165" spans="1:8" ht="21" x14ac:dyDescent="0.4">
      <c r="A165" s="109" t="s">
        <v>14</v>
      </c>
      <c r="B165" s="110">
        <v>18.75</v>
      </c>
      <c r="C165" s="109">
        <v>45076</v>
      </c>
      <c r="D165" s="100">
        <v>2023</v>
      </c>
      <c r="E165" s="104">
        <f t="shared" si="10"/>
        <v>660.68</v>
      </c>
      <c r="F165" s="102">
        <f t="shared" si="8"/>
        <v>641.92999999999995</v>
      </c>
      <c r="G165" s="103">
        <f t="shared" si="11"/>
        <v>1605</v>
      </c>
      <c r="H165" s="103">
        <f t="shared" si="9"/>
        <v>107</v>
      </c>
    </row>
    <row r="166" spans="1:8" ht="21" x14ac:dyDescent="0.4">
      <c r="A166" s="109" t="s">
        <v>14</v>
      </c>
      <c r="B166" s="110">
        <v>2</v>
      </c>
      <c r="C166" s="109">
        <v>45077</v>
      </c>
      <c r="D166" s="100">
        <v>2023</v>
      </c>
      <c r="E166" s="104">
        <f t="shared" si="10"/>
        <v>656.93</v>
      </c>
      <c r="F166" s="102">
        <f t="shared" si="8"/>
        <v>654.92999999999995</v>
      </c>
      <c r="G166" s="103">
        <f t="shared" si="11"/>
        <v>1620</v>
      </c>
      <c r="H166" s="103">
        <f t="shared" si="9"/>
        <v>108</v>
      </c>
    </row>
    <row r="167" spans="1:8" ht="21" x14ac:dyDescent="0.4">
      <c r="A167" s="111" t="s">
        <v>121</v>
      </c>
      <c r="B167" s="112">
        <v>0</v>
      </c>
      <c r="C167" s="111">
        <v>45078</v>
      </c>
      <c r="D167" s="100">
        <v>2023</v>
      </c>
      <c r="E167" s="104">
        <f t="shared" si="10"/>
        <v>669.93</v>
      </c>
      <c r="F167" s="102">
        <f t="shared" si="8"/>
        <v>669.93</v>
      </c>
      <c r="G167" s="103">
        <f t="shared" si="11"/>
        <v>1635</v>
      </c>
      <c r="H167" s="103">
        <f t="shared" si="9"/>
        <v>109</v>
      </c>
    </row>
    <row r="168" spans="1:8" ht="21" x14ac:dyDescent="0.4">
      <c r="A168" s="111" t="s">
        <v>14</v>
      </c>
      <c r="B168" s="112">
        <v>6.95</v>
      </c>
      <c r="C168" s="111">
        <v>45079</v>
      </c>
      <c r="D168" s="100">
        <v>2023</v>
      </c>
      <c r="E168" s="104">
        <f t="shared" si="10"/>
        <v>684.93</v>
      </c>
      <c r="F168" s="102">
        <f t="shared" si="8"/>
        <v>677.9799999999999</v>
      </c>
      <c r="G168" s="103">
        <f t="shared" si="11"/>
        <v>1650</v>
      </c>
      <c r="H168" s="103">
        <f t="shared" si="9"/>
        <v>110</v>
      </c>
    </row>
    <row r="169" spans="1:8" ht="21" x14ac:dyDescent="0.4">
      <c r="A169" s="111" t="s">
        <v>106</v>
      </c>
      <c r="B169" s="112">
        <v>4.7</v>
      </c>
      <c r="C169" s="111">
        <v>45079</v>
      </c>
      <c r="D169" s="100">
        <v>2023</v>
      </c>
      <c r="E169" s="104">
        <f t="shared" si="10"/>
        <v>677.9799999999999</v>
      </c>
      <c r="F169" s="102">
        <f t="shared" si="8"/>
        <v>673.27999999999986</v>
      </c>
      <c r="G169" s="103">
        <f t="shared" si="11"/>
        <v>1650</v>
      </c>
      <c r="H169" s="103">
        <f t="shared" si="9"/>
        <v>110</v>
      </c>
    </row>
    <row r="170" spans="1:8" ht="21" x14ac:dyDescent="0.4">
      <c r="A170" s="111" t="s">
        <v>121</v>
      </c>
      <c r="B170" s="112">
        <v>0</v>
      </c>
      <c r="C170" s="111">
        <v>45080</v>
      </c>
      <c r="D170" s="100">
        <v>2023</v>
      </c>
      <c r="E170" s="104">
        <f t="shared" si="10"/>
        <v>688.27999999999986</v>
      </c>
      <c r="F170" s="102">
        <f t="shared" si="8"/>
        <v>688.27999999999986</v>
      </c>
      <c r="G170" s="103">
        <f t="shared" si="11"/>
        <v>1665</v>
      </c>
      <c r="H170" s="103">
        <f t="shared" si="9"/>
        <v>111</v>
      </c>
    </row>
    <row r="171" spans="1:8" ht="21" x14ac:dyDescent="0.4">
      <c r="A171" s="111" t="s">
        <v>121</v>
      </c>
      <c r="B171" s="112">
        <v>0</v>
      </c>
      <c r="C171" s="111">
        <v>45081</v>
      </c>
      <c r="D171" s="100">
        <v>2023</v>
      </c>
      <c r="E171" s="104">
        <f t="shared" si="10"/>
        <v>703.27999999999986</v>
      </c>
      <c r="F171" s="102">
        <f t="shared" si="8"/>
        <v>703.27999999999986</v>
      </c>
      <c r="G171" s="103">
        <f t="shared" si="11"/>
        <v>1680</v>
      </c>
      <c r="H171" s="103">
        <f t="shared" si="9"/>
        <v>112</v>
      </c>
    </row>
    <row r="172" spans="1:8" ht="21" x14ac:dyDescent="0.4">
      <c r="A172" s="111" t="s">
        <v>14</v>
      </c>
      <c r="B172" s="112">
        <v>26</v>
      </c>
      <c r="C172" s="111">
        <v>45082</v>
      </c>
      <c r="D172" s="100">
        <v>2023</v>
      </c>
      <c r="E172" s="104">
        <f t="shared" si="10"/>
        <v>718.27999999999986</v>
      </c>
      <c r="F172" s="102">
        <f t="shared" si="8"/>
        <v>692.27999999999986</v>
      </c>
      <c r="G172" s="103">
        <f t="shared" si="11"/>
        <v>1695</v>
      </c>
      <c r="H172" s="103">
        <f t="shared" si="9"/>
        <v>113</v>
      </c>
    </row>
    <row r="173" spans="1:8" ht="21" x14ac:dyDescent="0.4">
      <c r="A173" s="111" t="s">
        <v>121</v>
      </c>
      <c r="B173" s="112">
        <v>0</v>
      </c>
      <c r="C173" s="111">
        <v>45083</v>
      </c>
      <c r="D173" s="100">
        <v>2023</v>
      </c>
      <c r="E173" s="104">
        <f t="shared" si="10"/>
        <v>707.27999999999986</v>
      </c>
      <c r="F173" s="102">
        <f t="shared" si="8"/>
        <v>707.27999999999986</v>
      </c>
      <c r="G173" s="103">
        <f t="shared" si="11"/>
        <v>1710</v>
      </c>
      <c r="H173" s="103">
        <f t="shared" si="9"/>
        <v>114</v>
      </c>
    </row>
    <row r="174" spans="1:8" ht="21" x14ac:dyDescent="0.4">
      <c r="A174" s="111" t="s">
        <v>106</v>
      </c>
      <c r="B174" s="112">
        <v>1</v>
      </c>
      <c r="C174" s="111">
        <v>45084</v>
      </c>
      <c r="D174" s="100">
        <v>2023</v>
      </c>
      <c r="E174" s="104">
        <f t="shared" si="10"/>
        <v>722.27999999999986</v>
      </c>
      <c r="F174" s="102">
        <f t="shared" si="8"/>
        <v>721.27999999999986</v>
      </c>
      <c r="G174" s="103">
        <f t="shared" si="11"/>
        <v>1725</v>
      </c>
      <c r="H174" s="103">
        <f t="shared" si="9"/>
        <v>115</v>
      </c>
    </row>
    <row r="175" spans="1:8" ht="21" x14ac:dyDescent="0.4">
      <c r="A175" s="111" t="s">
        <v>120</v>
      </c>
      <c r="B175" s="112">
        <v>0</v>
      </c>
      <c r="C175" s="111">
        <v>45085</v>
      </c>
      <c r="D175" s="100">
        <v>2023</v>
      </c>
      <c r="E175" s="104">
        <f t="shared" si="10"/>
        <v>736.27999999999986</v>
      </c>
      <c r="F175" s="102">
        <f t="shared" si="8"/>
        <v>736.27999999999986</v>
      </c>
      <c r="G175" s="103">
        <f t="shared" si="11"/>
        <v>1740</v>
      </c>
      <c r="H175" s="103">
        <f t="shared" si="9"/>
        <v>116</v>
      </c>
    </row>
    <row r="176" spans="1:8" ht="21" x14ac:dyDescent="0.4">
      <c r="A176" s="111" t="s">
        <v>106</v>
      </c>
      <c r="B176" s="112">
        <v>1</v>
      </c>
      <c r="C176" s="111">
        <v>45086</v>
      </c>
      <c r="D176" s="100">
        <v>2023</v>
      </c>
      <c r="E176" s="104">
        <f t="shared" si="10"/>
        <v>751.27999999999986</v>
      </c>
      <c r="F176" s="102">
        <f t="shared" si="8"/>
        <v>750.27999999999986</v>
      </c>
      <c r="G176" s="103">
        <f t="shared" si="11"/>
        <v>1755</v>
      </c>
      <c r="H176" s="103">
        <f t="shared" si="9"/>
        <v>117</v>
      </c>
    </row>
    <row r="177" spans="1:8" ht="21" x14ac:dyDescent="0.4">
      <c r="A177" s="111" t="s">
        <v>14</v>
      </c>
      <c r="B177" s="112">
        <v>13.9</v>
      </c>
      <c r="C177" s="111">
        <v>45087</v>
      </c>
      <c r="D177" s="100">
        <v>2023</v>
      </c>
      <c r="E177" s="104">
        <f t="shared" si="10"/>
        <v>765.27999999999986</v>
      </c>
      <c r="F177" s="102">
        <f t="shared" si="8"/>
        <v>751.37999999999988</v>
      </c>
      <c r="G177" s="103">
        <f t="shared" si="11"/>
        <v>1770</v>
      </c>
      <c r="H177" s="103">
        <f t="shared" si="9"/>
        <v>118</v>
      </c>
    </row>
    <row r="178" spans="1:8" ht="21" x14ac:dyDescent="0.4">
      <c r="A178" s="111" t="s">
        <v>106</v>
      </c>
      <c r="B178" s="112">
        <v>1</v>
      </c>
      <c r="C178" s="111">
        <v>45088</v>
      </c>
      <c r="D178" s="100">
        <v>2023</v>
      </c>
      <c r="E178" s="104">
        <f t="shared" si="10"/>
        <v>766.37999999999988</v>
      </c>
      <c r="F178" s="102">
        <f t="shared" si="8"/>
        <v>765.37999999999988</v>
      </c>
      <c r="G178" s="103">
        <f t="shared" si="11"/>
        <v>1785</v>
      </c>
      <c r="H178" s="103">
        <f t="shared" si="9"/>
        <v>119</v>
      </c>
    </row>
    <row r="179" spans="1:8" ht="21" x14ac:dyDescent="0.4">
      <c r="A179" s="111" t="s">
        <v>120</v>
      </c>
      <c r="B179" s="112">
        <v>0</v>
      </c>
      <c r="C179" s="111">
        <v>45089</v>
      </c>
      <c r="D179" s="100">
        <v>2023</v>
      </c>
      <c r="E179" s="104">
        <f t="shared" si="10"/>
        <v>780.37999999999988</v>
      </c>
      <c r="F179" s="102">
        <f t="shared" si="8"/>
        <v>780.37999999999988</v>
      </c>
      <c r="G179" s="103">
        <f t="shared" si="11"/>
        <v>1800</v>
      </c>
      <c r="H179" s="103">
        <f t="shared" si="9"/>
        <v>120</v>
      </c>
    </row>
    <row r="180" spans="1:8" ht="21" x14ac:dyDescent="0.4">
      <c r="A180" s="111" t="s">
        <v>106</v>
      </c>
      <c r="B180" s="112">
        <v>2</v>
      </c>
      <c r="C180" s="111">
        <v>45090</v>
      </c>
      <c r="D180" s="100">
        <v>2023</v>
      </c>
      <c r="E180" s="104">
        <f t="shared" si="10"/>
        <v>795.37999999999988</v>
      </c>
      <c r="F180" s="102">
        <f t="shared" si="8"/>
        <v>793.37999999999988</v>
      </c>
      <c r="G180" s="103">
        <f t="shared" si="11"/>
        <v>1815</v>
      </c>
      <c r="H180" s="103">
        <f t="shared" si="9"/>
        <v>121</v>
      </c>
    </row>
    <row r="181" spans="1:8" ht="21" x14ac:dyDescent="0.4">
      <c r="A181" s="111" t="s">
        <v>120</v>
      </c>
      <c r="B181" s="112">
        <v>0</v>
      </c>
      <c r="C181" s="111">
        <v>45091</v>
      </c>
      <c r="D181" s="100">
        <v>2023</v>
      </c>
      <c r="E181" s="104">
        <f t="shared" si="10"/>
        <v>808.37999999999988</v>
      </c>
      <c r="F181" s="102">
        <f t="shared" si="8"/>
        <v>808.37999999999988</v>
      </c>
      <c r="G181" s="103">
        <f t="shared" si="11"/>
        <v>1830</v>
      </c>
      <c r="H181" s="103">
        <f t="shared" si="9"/>
        <v>122</v>
      </c>
    </row>
    <row r="182" spans="1:8" ht="21" x14ac:dyDescent="0.4">
      <c r="A182" s="111" t="s">
        <v>14</v>
      </c>
      <c r="B182" s="112">
        <v>53.5</v>
      </c>
      <c r="C182" s="111">
        <v>45092</v>
      </c>
      <c r="D182" s="100">
        <v>2023</v>
      </c>
      <c r="E182" s="104">
        <f t="shared" si="10"/>
        <v>823.37999999999988</v>
      </c>
      <c r="F182" s="102">
        <f t="shared" si="8"/>
        <v>769.87999999999988</v>
      </c>
      <c r="G182" s="103">
        <f t="shared" si="11"/>
        <v>1845</v>
      </c>
      <c r="H182" s="103">
        <f t="shared" si="9"/>
        <v>123</v>
      </c>
    </row>
    <row r="183" spans="1:8" ht="21" x14ac:dyDescent="0.4">
      <c r="A183" s="111" t="s">
        <v>106</v>
      </c>
      <c r="B183" s="112">
        <v>7.5</v>
      </c>
      <c r="C183" s="111">
        <v>45093</v>
      </c>
      <c r="D183" s="100">
        <v>2023</v>
      </c>
      <c r="E183" s="104">
        <f t="shared" si="10"/>
        <v>784.87999999999988</v>
      </c>
      <c r="F183" s="102">
        <f t="shared" si="8"/>
        <v>777.37999999999988</v>
      </c>
      <c r="G183" s="103">
        <f t="shared" si="11"/>
        <v>1860</v>
      </c>
      <c r="H183" s="103">
        <f t="shared" si="9"/>
        <v>124</v>
      </c>
    </row>
    <row r="184" spans="1:8" ht="21" x14ac:dyDescent="0.4">
      <c r="A184" s="111" t="s">
        <v>106</v>
      </c>
      <c r="B184" s="112">
        <v>1</v>
      </c>
      <c r="C184" s="111">
        <v>45094</v>
      </c>
      <c r="D184" s="100">
        <v>2023</v>
      </c>
      <c r="E184" s="104">
        <f t="shared" si="10"/>
        <v>792.37999999999988</v>
      </c>
      <c r="F184" s="102">
        <f t="shared" si="8"/>
        <v>791.37999999999988</v>
      </c>
      <c r="G184" s="103">
        <f t="shared" si="11"/>
        <v>1875</v>
      </c>
      <c r="H184" s="103">
        <f t="shared" si="9"/>
        <v>125</v>
      </c>
    </row>
    <row r="185" spans="1:8" ht="21" x14ac:dyDescent="0.4">
      <c r="A185" s="111" t="s">
        <v>120</v>
      </c>
      <c r="B185" s="112">
        <v>0</v>
      </c>
      <c r="C185" s="111">
        <v>45095</v>
      </c>
      <c r="D185" s="100">
        <v>2023</v>
      </c>
      <c r="E185" s="104">
        <f t="shared" si="10"/>
        <v>806.37999999999988</v>
      </c>
      <c r="F185" s="102">
        <f t="shared" si="8"/>
        <v>806.37999999999988</v>
      </c>
      <c r="G185" s="103">
        <f t="shared" si="11"/>
        <v>1890</v>
      </c>
      <c r="H185" s="103">
        <f t="shared" si="9"/>
        <v>126</v>
      </c>
    </row>
    <row r="186" spans="1:8" ht="21" x14ac:dyDescent="0.4">
      <c r="A186" s="111" t="s">
        <v>120</v>
      </c>
      <c r="B186" s="112">
        <v>0</v>
      </c>
      <c r="C186" s="111">
        <v>45096</v>
      </c>
      <c r="D186" s="100">
        <v>2023</v>
      </c>
      <c r="E186" s="104">
        <f t="shared" si="10"/>
        <v>821.37999999999988</v>
      </c>
      <c r="F186" s="102">
        <f t="shared" si="8"/>
        <v>821.37999999999988</v>
      </c>
      <c r="G186" s="103">
        <f t="shared" si="11"/>
        <v>1905</v>
      </c>
      <c r="H186" s="103">
        <f t="shared" si="9"/>
        <v>127</v>
      </c>
    </row>
    <row r="187" spans="1:8" ht="21" x14ac:dyDescent="0.4">
      <c r="A187" s="111" t="s">
        <v>106</v>
      </c>
      <c r="B187" s="112">
        <v>1</v>
      </c>
      <c r="C187" s="111">
        <v>45097</v>
      </c>
      <c r="D187" s="100">
        <v>2023</v>
      </c>
      <c r="E187" s="104">
        <f t="shared" si="10"/>
        <v>836.37999999999988</v>
      </c>
      <c r="F187" s="102">
        <f t="shared" si="8"/>
        <v>835.37999999999988</v>
      </c>
      <c r="G187" s="103">
        <f t="shared" si="11"/>
        <v>1920</v>
      </c>
      <c r="H187" s="103">
        <f t="shared" si="9"/>
        <v>128</v>
      </c>
    </row>
    <row r="188" spans="1:8" ht="21" x14ac:dyDescent="0.4">
      <c r="A188" s="111" t="s">
        <v>106</v>
      </c>
      <c r="B188" s="112">
        <v>12</v>
      </c>
      <c r="C188" s="111">
        <v>45098</v>
      </c>
      <c r="D188" s="100">
        <v>2023</v>
      </c>
      <c r="E188" s="104">
        <f t="shared" si="10"/>
        <v>850.37999999999988</v>
      </c>
      <c r="F188" s="102">
        <f t="shared" si="8"/>
        <v>838.37999999999988</v>
      </c>
      <c r="G188" s="103">
        <f t="shared" si="11"/>
        <v>1935</v>
      </c>
      <c r="H188" s="103">
        <f t="shared" si="9"/>
        <v>129</v>
      </c>
    </row>
    <row r="189" spans="1:8" ht="21" x14ac:dyDescent="0.4">
      <c r="A189" s="111" t="s">
        <v>114</v>
      </c>
      <c r="B189" s="112">
        <v>69</v>
      </c>
      <c r="C189" s="111">
        <v>45099</v>
      </c>
      <c r="D189" s="100">
        <v>2023</v>
      </c>
      <c r="E189" s="104">
        <f t="shared" si="10"/>
        <v>853.37999999999988</v>
      </c>
      <c r="F189" s="102">
        <f t="shared" si="8"/>
        <v>784.37999999999988</v>
      </c>
      <c r="G189" s="103">
        <f t="shared" si="11"/>
        <v>1950</v>
      </c>
      <c r="H189" s="103">
        <f t="shared" si="9"/>
        <v>130</v>
      </c>
    </row>
    <row r="190" spans="1:8" ht="21" x14ac:dyDescent="0.4">
      <c r="A190" s="111" t="s">
        <v>114</v>
      </c>
      <c r="B190" s="112">
        <v>30</v>
      </c>
      <c r="C190" s="111">
        <v>45099</v>
      </c>
      <c r="D190" s="100">
        <v>2023</v>
      </c>
      <c r="E190" s="104">
        <f t="shared" si="10"/>
        <v>784.37999999999988</v>
      </c>
      <c r="F190" s="102">
        <f t="shared" si="8"/>
        <v>754.37999999999988</v>
      </c>
      <c r="G190" s="103">
        <f t="shared" si="11"/>
        <v>1950</v>
      </c>
      <c r="H190" s="103">
        <f t="shared" si="9"/>
        <v>130</v>
      </c>
    </row>
    <row r="191" spans="1:8" ht="21" x14ac:dyDescent="0.4">
      <c r="A191" s="111" t="s">
        <v>14</v>
      </c>
      <c r="B191" s="112">
        <v>53.5</v>
      </c>
      <c r="C191" s="111">
        <v>45100</v>
      </c>
      <c r="D191" s="100">
        <v>2023</v>
      </c>
      <c r="E191" s="104">
        <f t="shared" si="10"/>
        <v>769.37999999999988</v>
      </c>
      <c r="F191" s="102">
        <f t="shared" si="8"/>
        <v>715.87999999999988</v>
      </c>
      <c r="G191" s="103">
        <f t="shared" si="11"/>
        <v>1965</v>
      </c>
      <c r="H191" s="103">
        <f t="shared" si="9"/>
        <v>131</v>
      </c>
    </row>
    <row r="192" spans="1:8" ht="21" x14ac:dyDescent="0.4">
      <c r="A192" s="111" t="s">
        <v>114</v>
      </c>
      <c r="B192" s="112">
        <v>25</v>
      </c>
      <c r="C192" s="111">
        <v>45101</v>
      </c>
      <c r="D192" s="100">
        <v>2023</v>
      </c>
      <c r="E192" s="104">
        <f t="shared" si="10"/>
        <v>730.87999999999988</v>
      </c>
      <c r="F192" s="102">
        <f t="shared" si="8"/>
        <v>705.87999999999988</v>
      </c>
      <c r="G192" s="103">
        <f t="shared" si="11"/>
        <v>1980</v>
      </c>
      <c r="H192" s="103">
        <f t="shared" si="9"/>
        <v>132</v>
      </c>
    </row>
    <row r="193" spans="1:8" ht="21" x14ac:dyDescent="0.4">
      <c r="A193" s="111" t="s">
        <v>120</v>
      </c>
      <c r="B193" s="112">
        <v>0</v>
      </c>
      <c r="C193" s="111">
        <v>45102</v>
      </c>
      <c r="D193" s="100">
        <v>2023</v>
      </c>
      <c r="E193" s="104">
        <f t="shared" si="10"/>
        <v>720.87999999999988</v>
      </c>
      <c r="F193" s="102">
        <f t="shared" si="8"/>
        <v>720.87999999999988</v>
      </c>
      <c r="G193" s="103">
        <f t="shared" si="11"/>
        <v>1995</v>
      </c>
      <c r="H193" s="103">
        <f t="shared" si="9"/>
        <v>133</v>
      </c>
    </row>
    <row r="194" spans="1:8" ht="21" x14ac:dyDescent="0.4">
      <c r="A194" s="111" t="s">
        <v>106</v>
      </c>
      <c r="B194" s="112">
        <v>1</v>
      </c>
      <c r="C194" s="111">
        <v>45103</v>
      </c>
      <c r="D194" s="100">
        <v>2023</v>
      </c>
      <c r="E194" s="104">
        <f t="shared" si="10"/>
        <v>735.87999999999988</v>
      </c>
      <c r="F194" s="102">
        <f t="shared" si="8"/>
        <v>734.87999999999988</v>
      </c>
      <c r="G194" s="103">
        <f t="shared" si="11"/>
        <v>2010</v>
      </c>
      <c r="H194" s="103">
        <f t="shared" si="9"/>
        <v>134</v>
      </c>
    </row>
    <row r="195" spans="1:8" ht="21" x14ac:dyDescent="0.4">
      <c r="A195" s="111" t="s">
        <v>14</v>
      </c>
      <c r="B195" s="112">
        <v>4.2</v>
      </c>
      <c r="C195" s="111">
        <v>45104</v>
      </c>
      <c r="D195" s="100">
        <v>2023</v>
      </c>
      <c r="E195" s="104">
        <f t="shared" si="10"/>
        <v>749.87999999999988</v>
      </c>
      <c r="F195" s="102">
        <f t="shared" ref="F195:F258" si="12">E195-B195</f>
        <v>745.67999999999984</v>
      </c>
      <c r="G195" s="103">
        <f t="shared" si="11"/>
        <v>2025</v>
      </c>
      <c r="H195" s="103">
        <f t="shared" ref="H195:H258" si="13">G195/15</f>
        <v>135</v>
      </c>
    </row>
    <row r="196" spans="1:8" ht="21" x14ac:dyDescent="0.4">
      <c r="A196" s="111" t="s">
        <v>106</v>
      </c>
      <c r="B196" s="112">
        <v>29.9</v>
      </c>
      <c r="C196" s="111">
        <v>45104</v>
      </c>
      <c r="D196" s="100">
        <v>2023</v>
      </c>
      <c r="E196" s="104">
        <f t="shared" ref="E196:E259" si="14">IF(C196=C195,F195,F195+15)</f>
        <v>745.67999999999984</v>
      </c>
      <c r="F196" s="102">
        <f t="shared" si="12"/>
        <v>715.77999999999986</v>
      </c>
      <c r="G196" s="103">
        <f t="shared" ref="G196:G223" si="15">IF(C196&lt;&gt;C195, 15+G195,G195)</f>
        <v>2025</v>
      </c>
      <c r="H196" s="103">
        <f t="shared" si="13"/>
        <v>135</v>
      </c>
    </row>
    <row r="197" spans="1:8" ht="21" x14ac:dyDescent="0.4">
      <c r="A197" s="111" t="s">
        <v>120</v>
      </c>
      <c r="B197" s="112">
        <v>0</v>
      </c>
      <c r="C197" s="111">
        <v>45105</v>
      </c>
      <c r="D197" s="100">
        <v>2023</v>
      </c>
      <c r="E197" s="104">
        <f t="shared" si="14"/>
        <v>730.77999999999986</v>
      </c>
      <c r="F197" s="102">
        <f t="shared" si="12"/>
        <v>730.77999999999986</v>
      </c>
      <c r="G197" s="103">
        <f t="shared" si="15"/>
        <v>2040</v>
      </c>
      <c r="H197" s="103">
        <f t="shared" si="13"/>
        <v>136</v>
      </c>
    </row>
    <row r="198" spans="1:8" ht="21" x14ac:dyDescent="0.4">
      <c r="A198" s="111" t="s">
        <v>120</v>
      </c>
      <c r="B198" s="112">
        <v>0</v>
      </c>
      <c r="C198" s="111">
        <v>45106</v>
      </c>
      <c r="D198" s="100">
        <v>2023</v>
      </c>
      <c r="E198" s="104">
        <f t="shared" si="14"/>
        <v>745.77999999999986</v>
      </c>
      <c r="F198" s="102">
        <f t="shared" si="12"/>
        <v>745.77999999999986</v>
      </c>
      <c r="G198" s="103">
        <f t="shared" si="15"/>
        <v>2055</v>
      </c>
      <c r="H198" s="103">
        <f t="shared" si="13"/>
        <v>137</v>
      </c>
    </row>
    <row r="199" spans="1:8" ht="21" x14ac:dyDescent="0.4">
      <c r="A199" s="111" t="s">
        <v>120</v>
      </c>
      <c r="B199" s="112">
        <v>0</v>
      </c>
      <c r="C199" s="111">
        <v>45107</v>
      </c>
      <c r="D199" s="100">
        <v>2023</v>
      </c>
      <c r="E199" s="104">
        <f t="shared" si="14"/>
        <v>760.77999999999986</v>
      </c>
      <c r="F199" s="102">
        <f t="shared" si="12"/>
        <v>760.77999999999986</v>
      </c>
      <c r="G199" s="103">
        <f t="shared" si="15"/>
        <v>2070</v>
      </c>
      <c r="H199" s="103">
        <f t="shared" si="13"/>
        <v>138</v>
      </c>
    </row>
    <row r="200" spans="1:8" ht="21" x14ac:dyDescent="0.4">
      <c r="A200" s="111" t="s">
        <v>14</v>
      </c>
      <c r="B200" s="112">
        <v>22.78</v>
      </c>
      <c r="C200" s="111">
        <v>45108</v>
      </c>
      <c r="D200" s="100">
        <v>2023</v>
      </c>
      <c r="E200" s="104">
        <f t="shared" si="14"/>
        <v>775.77999999999986</v>
      </c>
      <c r="F200" s="102">
        <f t="shared" si="12"/>
        <v>752.99999999999989</v>
      </c>
      <c r="G200" s="103">
        <f t="shared" si="15"/>
        <v>2085</v>
      </c>
      <c r="H200" s="103">
        <f t="shared" si="13"/>
        <v>139</v>
      </c>
    </row>
    <row r="201" spans="1:8" ht="21" x14ac:dyDescent="0.4">
      <c r="A201" s="111" t="s">
        <v>14</v>
      </c>
      <c r="B201" s="112">
        <v>22.9</v>
      </c>
      <c r="C201" s="111">
        <v>45108</v>
      </c>
      <c r="D201" s="100">
        <v>2023</v>
      </c>
      <c r="E201" s="104">
        <f t="shared" si="14"/>
        <v>752.99999999999989</v>
      </c>
      <c r="F201" s="102">
        <f t="shared" si="12"/>
        <v>730.09999999999991</v>
      </c>
      <c r="G201" s="103">
        <f t="shared" si="15"/>
        <v>2085</v>
      </c>
      <c r="H201" s="103">
        <f t="shared" si="13"/>
        <v>139</v>
      </c>
    </row>
    <row r="202" spans="1:8" ht="21" x14ac:dyDescent="0.4">
      <c r="A202" s="111" t="s">
        <v>14</v>
      </c>
      <c r="B202" s="112">
        <v>15.05</v>
      </c>
      <c r="C202" s="111">
        <v>45109</v>
      </c>
      <c r="D202" s="100">
        <v>2023</v>
      </c>
      <c r="E202" s="104">
        <f t="shared" si="14"/>
        <v>745.09999999999991</v>
      </c>
      <c r="F202" s="102">
        <f t="shared" si="12"/>
        <v>730.05</v>
      </c>
      <c r="G202" s="103">
        <f t="shared" si="15"/>
        <v>2100</v>
      </c>
      <c r="H202" s="103">
        <f t="shared" si="13"/>
        <v>140</v>
      </c>
    </row>
    <row r="203" spans="1:8" ht="21" x14ac:dyDescent="0.4">
      <c r="A203" s="111" t="s">
        <v>120</v>
      </c>
      <c r="B203" s="112">
        <v>0</v>
      </c>
      <c r="C203" s="111">
        <v>45110</v>
      </c>
      <c r="D203" s="100">
        <v>2023</v>
      </c>
      <c r="E203" s="104">
        <f t="shared" si="14"/>
        <v>745.05</v>
      </c>
      <c r="F203" s="102">
        <f t="shared" si="12"/>
        <v>745.05</v>
      </c>
      <c r="G203" s="103">
        <f t="shared" si="15"/>
        <v>2115</v>
      </c>
      <c r="H203" s="103">
        <f t="shared" si="13"/>
        <v>141</v>
      </c>
    </row>
    <row r="204" spans="1:8" ht="21" x14ac:dyDescent="0.4">
      <c r="A204" s="111" t="s">
        <v>106</v>
      </c>
      <c r="B204" s="112">
        <v>13.95</v>
      </c>
      <c r="C204" s="111">
        <v>45111</v>
      </c>
      <c r="D204" s="100">
        <v>2023</v>
      </c>
      <c r="E204" s="104">
        <f t="shared" si="14"/>
        <v>760.05</v>
      </c>
      <c r="F204" s="102">
        <f t="shared" si="12"/>
        <v>746.09999999999991</v>
      </c>
      <c r="G204" s="103">
        <f t="shared" si="15"/>
        <v>2130</v>
      </c>
      <c r="H204" s="103">
        <f t="shared" si="13"/>
        <v>142</v>
      </c>
    </row>
    <row r="205" spans="1:8" ht="21" x14ac:dyDescent="0.4">
      <c r="A205" s="111" t="s">
        <v>120</v>
      </c>
      <c r="B205" s="112">
        <v>0</v>
      </c>
      <c r="C205" s="111">
        <v>45112</v>
      </c>
      <c r="D205" s="100">
        <v>2023</v>
      </c>
      <c r="E205" s="104">
        <f t="shared" si="14"/>
        <v>761.09999999999991</v>
      </c>
      <c r="F205" s="102">
        <f t="shared" si="12"/>
        <v>761.09999999999991</v>
      </c>
      <c r="G205" s="103">
        <f t="shared" si="15"/>
        <v>2145</v>
      </c>
      <c r="H205" s="103">
        <f t="shared" si="13"/>
        <v>143</v>
      </c>
    </row>
    <row r="206" spans="1:8" ht="21" x14ac:dyDescent="0.4">
      <c r="A206" s="111" t="s">
        <v>120</v>
      </c>
      <c r="B206" s="112">
        <v>0</v>
      </c>
      <c r="C206" s="111">
        <v>45113</v>
      </c>
      <c r="D206" s="100">
        <v>2023</v>
      </c>
      <c r="E206" s="104">
        <f t="shared" si="14"/>
        <v>776.09999999999991</v>
      </c>
      <c r="F206" s="102">
        <f t="shared" si="12"/>
        <v>776.09999999999991</v>
      </c>
      <c r="G206" s="103">
        <f t="shared" si="15"/>
        <v>2160</v>
      </c>
      <c r="H206" s="103">
        <f t="shared" si="13"/>
        <v>144</v>
      </c>
    </row>
    <row r="207" spans="1:8" ht="21" x14ac:dyDescent="0.4">
      <c r="A207" s="111" t="s">
        <v>120</v>
      </c>
      <c r="B207" s="112">
        <v>0</v>
      </c>
      <c r="C207" s="111">
        <v>45114</v>
      </c>
      <c r="D207" s="100">
        <v>2023</v>
      </c>
      <c r="E207" s="104">
        <f t="shared" si="14"/>
        <v>791.09999999999991</v>
      </c>
      <c r="F207" s="102">
        <f t="shared" si="12"/>
        <v>791.09999999999991</v>
      </c>
      <c r="G207" s="103">
        <f t="shared" si="15"/>
        <v>2175</v>
      </c>
      <c r="H207" s="103">
        <f t="shared" si="13"/>
        <v>145</v>
      </c>
    </row>
    <row r="208" spans="1:8" ht="21" x14ac:dyDescent="0.4">
      <c r="A208" s="111" t="s">
        <v>106</v>
      </c>
      <c r="B208" s="112">
        <v>2</v>
      </c>
      <c r="C208" s="111">
        <v>45115</v>
      </c>
      <c r="D208" s="100">
        <v>2023</v>
      </c>
      <c r="E208" s="104">
        <f t="shared" si="14"/>
        <v>806.09999999999991</v>
      </c>
      <c r="F208" s="102">
        <f t="shared" si="12"/>
        <v>804.09999999999991</v>
      </c>
      <c r="G208" s="103">
        <f t="shared" si="15"/>
        <v>2190</v>
      </c>
      <c r="H208" s="103">
        <f t="shared" si="13"/>
        <v>146</v>
      </c>
    </row>
    <row r="209" spans="1:8" ht="21" x14ac:dyDescent="0.4">
      <c r="A209" s="111" t="s">
        <v>106</v>
      </c>
      <c r="B209" s="112">
        <v>1</v>
      </c>
      <c r="C209" s="111">
        <v>45116</v>
      </c>
      <c r="D209" s="100">
        <v>2023</v>
      </c>
      <c r="E209" s="104">
        <f t="shared" si="14"/>
        <v>819.09999999999991</v>
      </c>
      <c r="F209" s="102">
        <f t="shared" si="12"/>
        <v>818.09999999999991</v>
      </c>
      <c r="G209" s="103">
        <f t="shared" si="15"/>
        <v>2205</v>
      </c>
      <c r="H209" s="103">
        <f t="shared" si="13"/>
        <v>147</v>
      </c>
    </row>
    <row r="210" spans="1:8" ht="21" x14ac:dyDescent="0.4">
      <c r="A210" s="111" t="s">
        <v>14</v>
      </c>
      <c r="B210" s="112">
        <v>12</v>
      </c>
      <c r="C210" s="111">
        <v>45116</v>
      </c>
      <c r="D210" s="100">
        <v>2023</v>
      </c>
      <c r="E210" s="104">
        <f t="shared" si="14"/>
        <v>818.09999999999991</v>
      </c>
      <c r="F210" s="102">
        <f t="shared" si="12"/>
        <v>806.09999999999991</v>
      </c>
      <c r="G210" s="103">
        <f t="shared" si="15"/>
        <v>2205</v>
      </c>
      <c r="H210" s="103">
        <f t="shared" si="13"/>
        <v>147</v>
      </c>
    </row>
    <row r="211" spans="1:8" ht="21" x14ac:dyDescent="0.4">
      <c r="A211" s="111" t="s">
        <v>14</v>
      </c>
      <c r="B211" s="112">
        <v>10</v>
      </c>
      <c r="C211" s="111">
        <v>45116</v>
      </c>
      <c r="D211" s="100">
        <v>2023</v>
      </c>
      <c r="E211" s="104">
        <f t="shared" si="14"/>
        <v>806.09999999999991</v>
      </c>
      <c r="F211" s="102">
        <f t="shared" si="12"/>
        <v>796.09999999999991</v>
      </c>
      <c r="G211" s="103">
        <f t="shared" si="15"/>
        <v>2205</v>
      </c>
      <c r="H211" s="103">
        <f t="shared" si="13"/>
        <v>147</v>
      </c>
    </row>
    <row r="212" spans="1:8" ht="21" x14ac:dyDescent="0.4">
      <c r="A212" s="111" t="s">
        <v>14</v>
      </c>
      <c r="B212" s="112">
        <v>12</v>
      </c>
      <c r="C212" s="111">
        <v>45117</v>
      </c>
      <c r="D212" s="100">
        <v>2023</v>
      </c>
      <c r="E212" s="104">
        <f t="shared" si="14"/>
        <v>811.09999999999991</v>
      </c>
      <c r="F212" s="102">
        <f t="shared" si="12"/>
        <v>799.09999999999991</v>
      </c>
      <c r="G212" s="103">
        <f t="shared" si="15"/>
        <v>2220</v>
      </c>
      <c r="H212" s="103">
        <f t="shared" si="13"/>
        <v>148</v>
      </c>
    </row>
    <row r="213" spans="1:8" ht="21" x14ac:dyDescent="0.4">
      <c r="A213" s="111" t="s">
        <v>106</v>
      </c>
      <c r="B213" s="112">
        <v>1.8</v>
      </c>
      <c r="C213" s="111">
        <v>45118</v>
      </c>
      <c r="D213" s="100">
        <v>2023</v>
      </c>
      <c r="E213" s="104">
        <f t="shared" si="14"/>
        <v>814.09999999999991</v>
      </c>
      <c r="F213" s="102">
        <f t="shared" si="12"/>
        <v>812.3</v>
      </c>
      <c r="G213" s="103">
        <f t="shared" si="15"/>
        <v>2235</v>
      </c>
      <c r="H213" s="103">
        <f t="shared" si="13"/>
        <v>149</v>
      </c>
    </row>
    <row r="214" spans="1:8" ht="21" x14ac:dyDescent="0.4">
      <c r="A214" s="111" t="s">
        <v>120</v>
      </c>
      <c r="B214" s="112">
        <v>0</v>
      </c>
      <c r="C214" s="111">
        <v>45119</v>
      </c>
      <c r="D214" s="100">
        <v>2023</v>
      </c>
      <c r="E214" s="104">
        <f t="shared" si="14"/>
        <v>827.3</v>
      </c>
      <c r="F214" s="102">
        <f t="shared" si="12"/>
        <v>827.3</v>
      </c>
      <c r="G214" s="103">
        <f t="shared" si="15"/>
        <v>2250</v>
      </c>
      <c r="H214" s="103">
        <f t="shared" si="13"/>
        <v>150</v>
      </c>
    </row>
    <row r="215" spans="1:8" ht="21" x14ac:dyDescent="0.4">
      <c r="A215" s="111" t="s">
        <v>120</v>
      </c>
      <c r="B215" s="112">
        <v>0</v>
      </c>
      <c r="C215" s="111">
        <v>45120</v>
      </c>
      <c r="D215" s="100">
        <v>2023</v>
      </c>
      <c r="E215" s="104">
        <f t="shared" si="14"/>
        <v>842.3</v>
      </c>
      <c r="F215" s="102">
        <f t="shared" si="12"/>
        <v>842.3</v>
      </c>
      <c r="G215" s="103">
        <f t="shared" si="15"/>
        <v>2265</v>
      </c>
      <c r="H215" s="103">
        <f t="shared" si="13"/>
        <v>151</v>
      </c>
    </row>
    <row r="216" spans="1:8" ht="21" x14ac:dyDescent="0.4">
      <c r="A216" s="111" t="s">
        <v>120</v>
      </c>
      <c r="B216" s="112">
        <v>0</v>
      </c>
      <c r="C216" s="111">
        <v>45121</v>
      </c>
      <c r="D216" s="100">
        <v>2023</v>
      </c>
      <c r="E216" s="104">
        <f t="shared" si="14"/>
        <v>857.3</v>
      </c>
      <c r="F216" s="102">
        <f t="shared" si="12"/>
        <v>857.3</v>
      </c>
      <c r="G216" s="103">
        <f t="shared" si="15"/>
        <v>2280</v>
      </c>
      <c r="H216" s="103">
        <f t="shared" si="13"/>
        <v>152</v>
      </c>
    </row>
    <row r="217" spans="1:8" ht="21" x14ac:dyDescent="0.4">
      <c r="A217" s="111" t="s">
        <v>120</v>
      </c>
      <c r="B217" s="112">
        <v>0</v>
      </c>
      <c r="C217" s="111">
        <v>45122</v>
      </c>
      <c r="D217" s="100">
        <v>2023</v>
      </c>
      <c r="E217" s="104">
        <f t="shared" si="14"/>
        <v>872.3</v>
      </c>
      <c r="F217" s="102">
        <f t="shared" si="12"/>
        <v>872.3</v>
      </c>
      <c r="G217" s="103">
        <f t="shared" si="15"/>
        <v>2295</v>
      </c>
      <c r="H217" s="103">
        <f t="shared" si="13"/>
        <v>153</v>
      </c>
    </row>
    <row r="218" spans="1:8" ht="21" x14ac:dyDescent="0.4">
      <c r="A218" s="111" t="s">
        <v>106</v>
      </c>
      <c r="B218" s="112">
        <v>1</v>
      </c>
      <c r="C218" s="111">
        <v>45123</v>
      </c>
      <c r="D218" s="100">
        <v>2023</v>
      </c>
      <c r="E218" s="104">
        <f t="shared" si="14"/>
        <v>887.3</v>
      </c>
      <c r="F218" s="102">
        <f t="shared" si="12"/>
        <v>886.3</v>
      </c>
      <c r="G218" s="103">
        <f t="shared" si="15"/>
        <v>2310</v>
      </c>
      <c r="H218" s="103">
        <f t="shared" si="13"/>
        <v>154</v>
      </c>
    </row>
    <row r="219" spans="1:8" ht="21" x14ac:dyDescent="0.4">
      <c r="A219" s="111" t="s">
        <v>106</v>
      </c>
      <c r="B219" s="112">
        <v>1</v>
      </c>
      <c r="C219" s="111">
        <v>45124</v>
      </c>
      <c r="D219" s="100">
        <v>2023</v>
      </c>
      <c r="E219" s="104">
        <f t="shared" si="14"/>
        <v>901.3</v>
      </c>
      <c r="F219" s="102">
        <f t="shared" si="12"/>
        <v>900.3</v>
      </c>
      <c r="G219" s="103">
        <f t="shared" si="15"/>
        <v>2325</v>
      </c>
      <c r="H219" s="103">
        <f t="shared" si="13"/>
        <v>155</v>
      </c>
    </row>
    <row r="220" spans="1:8" ht="21" x14ac:dyDescent="0.4">
      <c r="A220" s="111" t="s">
        <v>106</v>
      </c>
      <c r="B220" s="112">
        <v>3.37</v>
      </c>
      <c r="C220" s="111">
        <v>45125</v>
      </c>
      <c r="D220" s="100">
        <v>2023</v>
      </c>
      <c r="E220" s="104">
        <f t="shared" si="14"/>
        <v>915.3</v>
      </c>
      <c r="F220" s="102">
        <f t="shared" si="12"/>
        <v>911.93</v>
      </c>
      <c r="G220" s="103">
        <f t="shared" si="15"/>
        <v>2340</v>
      </c>
      <c r="H220" s="103">
        <f t="shared" si="13"/>
        <v>156</v>
      </c>
    </row>
    <row r="221" spans="1:8" ht="21" x14ac:dyDescent="0.4">
      <c r="A221" s="111" t="s">
        <v>14</v>
      </c>
      <c r="B221" s="112">
        <v>53.55</v>
      </c>
      <c r="C221" s="111">
        <v>45125</v>
      </c>
      <c r="D221" s="100">
        <v>2023</v>
      </c>
      <c r="E221" s="104">
        <f t="shared" si="14"/>
        <v>911.93</v>
      </c>
      <c r="F221" s="102">
        <f t="shared" si="12"/>
        <v>858.38</v>
      </c>
      <c r="G221" s="103">
        <f t="shared" si="15"/>
        <v>2340</v>
      </c>
      <c r="H221" s="103">
        <f t="shared" si="13"/>
        <v>156</v>
      </c>
    </row>
    <row r="222" spans="1:8" ht="21" x14ac:dyDescent="0.4">
      <c r="A222" s="111" t="s">
        <v>106</v>
      </c>
      <c r="B222" s="112">
        <v>15.06</v>
      </c>
      <c r="C222" s="111">
        <v>45126</v>
      </c>
      <c r="D222" s="100">
        <v>2023</v>
      </c>
      <c r="E222" s="104">
        <f t="shared" si="14"/>
        <v>873.38</v>
      </c>
      <c r="F222" s="102">
        <f t="shared" si="12"/>
        <v>858.32</v>
      </c>
      <c r="G222" s="103">
        <f t="shared" si="15"/>
        <v>2355</v>
      </c>
      <c r="H222" s="103">
        <f t="shared" si="13"/>
        <v>157</v>
      </c>
    </row>
    <row r="223" spans="1:8" ht="21" x14ac:dyDescent="0.4">
      <c r="A223" s="111" t="s">
        <v>120</v>
      </c>
      <c r="B223" s="112">
        <v>0</v>
      </c>
      <c r="C223" s="111">
        <v>45127</v>
      </c>
      <c r="D223" s="100">
        <v>2023</v>
      </c>
      <c r="E223" s="104">
        <f t="shared" si="14"/>
        <v>873.32</v>
      </c>
      <c r="F223" s="102">
        <f t="shared" si="12"/>
        <v>873.32</v>
      </c>
      <c r="G223" s="103">
        <f t="shared" si="15"/>
        <v>2370</v>
      </c>
      <c r="H223" s="103">
        <f t="shared" si="13"/>
        <v>158</v>
      </c>
    </row>
    <row r="224" spans="1:8" ht="21" x14ac:dyDescent="0.4">
      <c r="A224" s="111" t="s">
        <v>120</v>
      </c>
      <c r="B224" s="112">
        <v>0</v>
      </c>
      <c r="C224" s="111">
        <v>45128</v>
      </c>
      <c r="D224" s="100">
        <v>2023</v>
      </c>
      <c r="E224" s="104">
        <f t="shared" si="14"/>
        <v>888.32</v>
      </c>
      <c r="F224" s="102">
        <f t="shared" si="12"/>
        <v>888.32</v>
      </c>
      <c r="G224" s="103">
        <f>IF(C224&lt;&gt;C223, 15+G223,G223)</f>
        <v>2385</v>
      </c>
      <c r="H224" s="103">
        <f t="shared" si="13"/>
        <v>159</v>
      </c>
    </row>
    <row r="225" spans="1:8" ht="21" x14ac:dyDescent="0.4">
      <c r="A225" s="111" t="s">
        <v>106</v>
      </c>
      <c r="B225" s="112">
        <v>1.8</v>
      </c>
      <c r="C225" s="111">
        <v>45129</v>
      </c>
      <c r="D225" s="100">
        <v>2023</v>
      </c>
      <c r="E225" s="104">
        <f t="shared" si="14"/>
        <v>903.32</v>
      </c>
      <c r="F225" s="102">
        <f t="shared" si="12"/>
        <v>901.5200000000001</v>
      </c>
      <c r="G225" s="103">
        <f>IF(C225&lt;&gt;C224, 15+G224,G224)</f>
        <v>2400</v>
      </c>
      <c r="H225" s="103">
        <f t="shared" si="13"/>
        <v>160</v>
      </c>
    </row>
    <row r="226" spans="1:8" ht="21" x14ac:dyDescent="0.4">
      <c r="A226" s="111" t="s">
        <v>120</v>
      </c>
      <c r="B226" s="112">
        <v>0</v>
      </c>
      <c r="C226" s="111">
        <v>45130</v>
      </c>
      <c r="D226" s="100">
        <v>2023</v>
      </c>
      <c r="E226" s="104">
        <f t="shared" si="14"/>
        <v>916.5200000000001</v>
      </c>
      <c r="F226" s="102">
        <f t="shared" si="12"/>
        <v>916.5200000000001</v>
      </c>
      <c r="G226" s="103">
        <f>IF(C226&lt;&gt;C225, 15+G225,G225)</f>
        <v>2415</v>
      </c>
      <c r="H226" s="103">
        <f t="shared" si="13"/>
        <v>161</v>
      </c>
    </row>
    <row r="227" spans="1:8" ht="21" x14ac:dyDescent="0.4">
      <c r="A227" s="111" t="s">
        <v>120</v>
      </c>
      <c r="B227" s="112">
        <v>0</v>
      </c>
      <c r="C227" s="111">
        <v>45131</v>
      </c>
      <c r="D227" s="100">
        <v>2023</v>
      </c>
      <c r="E227" s="104">
        <f t="shared" si="14"/>
        <v>931.5200000000001</v>
      </c>
      <c r="F227" s="102">
        <f t="shared" si="12"/>
        <v>931.5200000000001</v>
      </c>
      <c r="G227" s="103">
        <f>IF(C227&lt;&gt;C226, 15+G226,G226)</f>
        <v>2430</v>
      </c>
      <c r="H227" s="103">
        <f t="shared" si="13"/>
        <v>162</v>
      </c>
    </row>
    <row r="228" spans="1:8" ht="21" x14ac:dyDescent="0.4">
      <c r="A228" s="111" t="s">
        <v>106</v>
      </c>
      <c r="B228" s="112">
        <v>8.5</v>
      </c>
      <c r="C228" s="111">
        <v>45132</v>
      </c>
      <c r="D228" s="100">
        <v>2023</v>
      </c>
      <c r="E228" s="104">
        <f t="shared" si="14"/>
        <v>946.5200000000001</v>
      </c>
      <c r="F228" s="102">
        <f t="shared" si="12"/>
        <v>938.0200000000001</v>
      </c>
      <c r="G228" s="103">
        <f t="shared" ref="G228:G291" si="16">IF(C228&lt;&gt;C227, 15+G227,G227)</f>
        <v>2445</v>
      </c>
      <c r="H228" s="103">
        <f t="shared" si="13"/>
        <v>163</v>
      </c>
    </row>
    <row r="229" spans="1:8" ht="21" x14ac:dyDescent="0.4">
      <c r="A229" s="111" t="s">
        <v>14</v>
      </c>
      <c r="B229" s="112">
        <v>5.04</v>
      </c>
      <c r="C229" s="111">
        <v>45132</v>
      </c>
      <c r="D229" s="100">
        <v>2023</v>
      </c>
      <c r="E229" s="104">
        <f t="shared" si="14"/>
        <v>938.0200000000001</v>
      </c>
      <c r="F229" s="102">
        <f t="shared" si="12"/>
        <v>932.98000000000013</v>
      </c>
      <c r="G229" s="103">
        <f t="shared" si="16"/>
        <v>2445</v>
      </c>
      <c r="H229" s="103">
        <f t="shared" si="13"/>
        <v>163</v>
      </c>
    </row>
    <row r="230" spans="1:8" ht="21" x14ac:dyDescent="0.4">
      <c r="A230" s="111" t="s">
        <v>14</v>
      </c>
      <c r="B230" s="112">
        <v>48.3</v>
      </c>
      <c r="C230" s="111">
        <v>45132</v>
      </c>
      <c r="D230" s="100">
        <v>2023</v>
      </c>
      <c r="E230" s="104">
        <f t="shared" si="14"/>
        <v>932.98000000000013</v>
      </c>
      <c r="F230" s="102">
        <f t="shared" si="12"/>
        <v>884.68000000000018</v>
      </c>
      <c r="G230" s="103">
        <f t="shared" si="16"/>
        <v>2445</v>
      </c>
      <c r="H230" s="103">
        <f t="shared" si="13"/>
        <v>163</v>
      </c>
    </row>
    <row r="231" spans="1:8" ht="21" x14ac:dyDescent="0.4">
      <c r="A231" s="111" t="s">
        <v>14</v>
      </c>
      <c r="B231" s="112">
        <v>1.75</v>
      </c>
      <c r="C231" s="111">
        <v>45133</v>
      </c>
      <c r="D231" s="100">
        <v>2023</v>
      </c>
      <c r="E231" s="104">
        <f t="shared" si="14"/>
        <v>899.68000000000018</v>
      </c>
      <c r="F231" s="102">
        <f t="shared" si="12"/>
        <v>897.93000000000018</v>
      </c>
      <c r="G231" s="103">
        <f t="shared" si="16"/>
        <v>2460</v>
      </c>
      <c r="H231" s="103">
        <f t="shared" si="13"/>
        <v>164</v>
      </c>
    </row>
    <row r="232" spans="1:8" ht="21" x14ac:dyDescent="0.4">
      <c r="A232" s="111" t="s">
        <v>120</v>
      </c>
      <c r="B232" s="112">
        <v>0</v>
      </c>
      <c r="C232" s="111">
        <v>45134</v>
      </c>
      <c r="D232" s="100">
        <v>2023</v>
      </c>
      <c r="E232" s="104">
        <f t="shared" si="14"/>
        <v>912.93000000000018</v>
      </c>
      <c r="F232" s="102">
        <f t="shared" si="12"/>
        <v>912.93000000000018</v>
      </c>
      <c r="G232" s="103">
        <f t="shared" si="16"/>
        <v>2475</v>
      </c>
      <c r="H232" s="103">
        <f t="shared" si="13"/>
        <v>165</v>
      </c>
    </row>
    <row r="233" spans="1:8" ht="21" x14ac:dyDescent="0.4">
      <c r="A233" s="111" t="s">
        <v>106</v>
      </c>
      <c r="B233" s="112">
        <v>1.8</v>
      </c>
      <c r="C233" s="111">
        <v>45135</v>
      </c>
      <c r="D233" s="100">
        <v>2023</v>
      </c>
      <c r="E233" s="104">
        <f t="shared" si="14"/>
        <v>927.93000000000018</v>
      </c>
      <c r="F233" s="102">
        <f t="shared" si="12"/>
        <v>926.13000000000022</v>
      </c>
      <c r="G233" s="103">
        <f t="shared" si="16"/>
        <v>2490</v>
      </c>
      <c r="H233" s="103">
        <f t="shared" si="13"/>
        <v>166</v>
      </c>
    </row>
    <row r="234" spans="1:8" ht="21" x14ac:dyDescent="0.4">
      <c r="A234" s="111" t="s">
        <v>106</v>
      </c>
      <c r="B234" s="112">
        <v>1</v>
      </c>
      <c r="C234" s="111">
        <v>45136</v>
      </c>
      <c r="D234" s="100">
        <v>2023</v>
      </c>
      <c r="E234" s="104">
        <f t="shared" si="14"/>
        <v>941.13000000000022</v>
      </c>
      <c r="F234" s="102">
        <f t="shared" si="12"/>
        <v>940.13000000000022</v>
      </c>
      <c r="G234" s="103">
        <f t="shared" si="16"/>
        <v>2505</v>
      </c>
      <c r="H234" s="103">
        <f t="shared" si="13"/>
        <v>167</v>
      </c>
    </row>
    <row r="235" spans="1:8" ht="21" x14ac:dyDescent="0.4">
      <c r="A235" s="111" t="s">
        <v>106</v>
      </c>
      <c r="B235" s="112">
        <v>2.8</v>
      </c>
      <c r="C235" s="111">
        <v>45137</v>
      </c>
      <c r="D235" s="100">
        <v>2023</v>
      </c>
      <c r="E235" s="104">
        <f t="shared" si="14"/>
        <v>955.13000000000022</v>
      </c>
      <c r="F235" s="102">
        <f t="shared" si="12"/>
        <v>952.33000000000027</v>
      </c>
      <c r="G235" s="103">
        <f t="shared" si="16"/>
        <v>2520</v>
      </c>
      <c r="H235" s="103">
        <f t="shared" si="13"/>
        <v>168</v>
      </c>
    </row>
    <row r="236" spans="1:8" ht="21" x14ac:dyDescent="0.4">
      <c r="A236" s="111" t="s">
        <v>14</v>
      </c>
      <c r="B236" s="112">
        <v>99</v>
      </c>
      <c r="C236" s="111">
        <v>45138</v>
      </c>
      <c r="D236" s="100">
        <v>2023</v>
      </c>
      <c r="E236" s="104">
        <f t="shared" si="14"/>
        <v>967.33000000000027</v>
      </c>
      <c r="F236" s="102">
        <f t="shared" si="12"/>
        <v>868.33000000000027</v>
      </c>
      <c r="G236" s="103">
        <f t="shared" si="16"/>
        <v>2535</v>
      </c>
      <c r="H236" s="103">
        <f t="shared" si="13"/>
        <v>169</v>
      </c>
    </row>
    <row r="237" spans="1:8" ht="21" x14ac:dyDescent="0.4">
      <c r="A237" s="111" t="s">
        <v>120</v>
      </c>
      <c r="B237" s="112">
        <v>0</v>
      </c>
      <c r="C237" s="111">
        <v>45139</v>
      </c>
      <c r="D237" s="100">
        <v>2023</v>
      </c>
      <c r="E237" s="104">
        <f t="shared" si="14"/>
        <v>883.33000000000027</v>
      </c>
      <c r="F237" s="102">
        <f t="shared" si="12"/>
        <v>883.33000000000027</v>
      </c>
      <c r="G237" s="103">
        <f t="shared" si="16"/>
        <v>2550</v>
      </c>
      <c r="H237" s="103">
        <f t="shared" si="13"/>
        <v>170</v>
      </c>
    </row>
    <row r="238" spans="1:8" ht="21" x14ac:dyDescent="0.4">
      <c r="A238" s="111" t="s">
        <v>106</v>
      </c>
      <c r="B238" s="112">
        <v>1.1499999999999999</v>
      </c>
      <c r="C238" s="111">
        <v>45140</v>
      </c>
      <c r="D238" s="100">
        <v>2023</v>
      </c>
      <c r="E238" s="104">
        <f t="shared" si="14"/>
        <v>898.33000000000027</v>
      </c>
      <c r="F238" s="102">
        <f t="shared" si="12"/>
        <v>897.18000000000029</v>
      </c>
      <c r="G238" s="103">
        <f t="shared" si="16"/>
        <v>2565</v>
      </c>
      <c r="H238" s="103">
        <f t="shared" si="13"/>
        <v>171</v>
      </c>
    </row>
    <row r="239" spans="1:8" ht="21" x14ac:dyDescent="0.4">
      <c r="A239" s="111" t="s">
        <v>106</v>
      </c>
      <c r="B239" s="112">
        <v>4</v>
      </c>
      <c r="C239" s="111">
        <v>45141</v>
      </c>
      <c r="D239" s="100">
        <v>2023</v>
      </c>
      <c r="E239" s="104">
        <f t="shared" si="14"/>
        <v>912.18000000000029</v>
      </c>
      <c r="F239" s="102">
        <f t="shared" si="12"/>
        <v>908.18000000000029</v>
      </c>
      <c r="G239" s="103">
        <f t="shared" si="16"/>
        <v>2580</v>
      </c>
      <c r="H239" s="103">
        <f t="shared" si="13"/>
        <v>172</v>
      </c>
    </row>
    <row r="240" spans="1:8" ht="21" x14ac:dyDescent="0.4">
      <c r="A240" s="111" t="s">
        <v>106</v>
      </c>
      <c r="B240" s="112">
        <v>2.83</v>
      </c>
      <c r="C240" s="111">
        <v>45142</v>
      </c>
      <c r="D240" s="100">
        <v>2023</v>
      </c>
      <c r="E240" s="104">
        <f t="shared" si="14"/>
        <v>923.18000000000029</v>
      </c>
      <c r="F240" s="102">
        <f t="shared" si="12"/>
        <v>920.35000000000025</v>
      </c>
      <c r="G240" s="103">
        <f t="shared" si="16"/>
        <v>2595</v>
      </c>
      <c r="H240" s="103">
        <f t="shared" si="13"/>
        <v>173</v>
      </c>
    </row>
    <row r="241" spans="1:8" ht="21" x14ac:dyDescent="0.4">
      <c r="A241" s="111" t="s">
        <v>106</v>
      </c>
      <c r="B241" s="112">
        <v>16</v>
      </c>
      <c r="C241" s="111">
        <v>45143</v>
      </c>
      <c r="D241" s="100">
        <v>2023</v>
      </c>
      <c r="E241" s="104">
        <f t="shared" si="14"/>
        <v>935.35000000000025</v>
      </c>
      <c r="F241" s="102">
        <f t="shared" si="12"/>
        <v>919.35000000000025</v>
      </c>
      <c r="G241" s="103">
        <f t="shared" si="16"/>
        <v>2610</v>
      </c>
      <c r="H241" s="103">
        <f t="shared" si="13"/>
        <v>174</v>
      </c>
    </row>
    <row r="242" spans="1:8" ht="21" x14ac:dyDescent="0.4">
      <c r="A242" s="111" t="s">
        <v>106</v>
      </c>
      <c r="B242" s="112">
        <v>1.1499999999999999</v>
      </c>
      <c r="C242" s="111">
        <v>45144</v>
      </c>
      <c r="D242" s="100">
        <v>2023</v>
      </c>
      <c r="E242" s="104">
        <f t="shared" si="14"/>
        <v>934.35000000000025</v>
      </c>
      <c r="F242" s="102">
        <f t="shared" si="12"/>
        <v>933.20000000000027</v>
      </c>
      <c r="G242" s="103">
        <f t="shared" si="16"/>
        <v>2625</v>
      </c>
      <c r="H242" s="103">
        <f t="shared" si="13"/>
        <v>175</v>
      </c>
    </row>
    <row r="243" spans="1:8" ht="21" x14ac:dyDescent="0.4">
      <c r="A243" s="111" t="s">
        <v>106</v>
      </c>
      <c r="B243" s="112">
        <v>2.5</v>
      </c>
      <c r="C243" s="111">
        <v>45145</v>
      </c>
      <c r="D243" s="100">
        <v>2023</v>
      </c>
      <c r="E243" s="104">
        <f t="shared" si="14"/>
        <v>948.20000000000027</v>
      </c>
      <c r="F243" s="102">
        <f t="shared" si="12"/>
        <v>945.70000000000027</v>
      </c>
      <c r="G243" s="103">
        <f t="shared" si="16"/>
        <v>2640</v>
      </c>
      <c r="H243" s="103">
        <f t="shared" si="13"/>
        <v>176</v>
      </c>
    </row>
    <row r="244" spans="1:8" ht="21" x14ac:dyDescent="0.4">
      <c r="A244" s="111" t="s">
        <v>106</v>
      </c>
      <c r="B244" s="112">
        <v>9.6300000000000008</v>
      </c>
      <c r="C244" s="111">
        <v>45145</v>
      </c>
      <c r="D244" s="100">
        <v>2023</v>
      </c>
      <c r="E244" s="104">
        <f t="shared" si="14"/>
        <v>945.70000000000027</v>
      </c>
      <c r="F244" s="102">
        <f t="shared" si="12"/>
        <v>936.07000000000028</v>
      </c>
      <c r="G244" s="103">
        <f t="shared" si="16"/>
        <v>2640</v>
      </c>
      <c r="H244" s="103">
        <f t="shared" si="13"/>
        <v>176</v>
      </c>
    </row>
    <row r="245" spans="1:8" ht="21" x14ac:dyDescent="0.4">
      <c r="A245" s="111" t="s">
        <v>14</v>
      </c>
      <c r="B245" s="112">
        <v>2.15</v>
      </c>
      <c r="C245" s="111">
        <v>45146</v>
      </c>
      <c r="D245" s="100">
        <v>2023</v>
      </c>
      <c r="E245" s="104">
        <f t="shared" si="14"/>
        <v>951.07000000000028</v>
      </c>
      <c r="F245" s="102">
        <f t="shared" si="12"/>
        <v>948.9200000000003</v>
      </c>
      <c r="G245" s="103">
        <f t="shared" si="16"/>
        <v>2655</v>
      </c>
      <c r="H245" s="103">
        <f t="shared" si="13"/>
        <v>177</v>
      </c>
    </row>
    <row r="246" spans="1:8" ht="21" x14ac:dyDescent="0.4">
      <c r="A246" s="111" t="s">
        <v>106</v>
      </c>
      <c r="B246" s="112">
        <v>6</v>
      </c>
      <c r="C246" s="111">
        <v>45147</v>
      </c>
      <c r="D246" s="100">
        <v>2023</v>
      </c>
      <c r="E246" s="104">
        <f t="shared" si="14"/>
        <v>963.9200000000003</v>
      </c>
      <c r="F246" s="102">
        <f t="shared" si="12"/>
        <v>957.9200000000003</v>
      </c>
      <c r="G246" s="103">
        <f t="shared" si="16"/>
        <v>2670</v>
      </c>
      <c r="H246" s="103">
        <f t="shared" si="13"/>
        <v>178</v>
      </c>
    </row>
    <row r="247" spans="1:8" ht="21" x14ac:dyDescent="0.4">
      <c r="A247" s="111" t="s">
        <v>106</v>
      </c>
      <c r="B247" s="112">
        <v>2</v>
      </c>
      <c r="C247" s="111">
        <v>45148</v>
      </c>
      <c r="D247" s="100">
        <v>2023</v>
      </c>
      <c r="E247" s="104">
        <f t="shared" si="14"/>
        <v>972.9200000000003</v>
      </c>
      <c r="F247" s="102">
        <f t="shared" si="12"/>
        <v>970.9200000000003</v>
      </c>
      <c r="G247" s="103">
        <f t="shared" si="16"/>
        <v>2685</v>
      </c>
      <c r="H247" s="103">
        <f t="shared" si="13"/>
        <v>179</v>
      </c>
    </row>
    <row r="248" spans="1:8" ht="21" x14ac:dyDescent="0.4">
      <c r="A248" s="111" t="s">
        <v>106</v>
      </c>
      <c r="B248" s="112">
        <v>16</v>
      </c>
      <c r="C248" s="111">
        <v>45149</v>
      </c>
      <c r="D248" s="100">
        <v>2023</v>
      </c>
      <c r="E248" s="104">
        <f t="shared" si="14"/>
        <v>985.9200000000003</v>
      </c>
      <c r="F248" s="102">
        <f t="shared" si="12"/>
        <v>969.9200000000003</v>
      </c>
      <c r="G248" s="103">
        <f t="shared" si="16"/>
        <v>2700</v>
      </c>
      <c r="H248" s="103">
        <f t="shared" si="13"/>
        <v>180</v>
      </c>
    </row>
    <row r="249" spans="1:8" ht="21" x14ac:dyDescent="0.4">
      <c r="A249" s="111" t="s">
        <v>14</v>
      </c>
      <c r="B249" s="112">
        <v>66.86</v>
      </c>
      <c r="C249" s="111">
        <v>45150</v>
      </c>
      <c r="D249" s="100">
        <v>2023</v>
      </c>
      <c r="E249" s="104">
        <f t="shared" si="14"/>
        <v>984.9200000000003</v>
      </c>
      <c r="F249" s="102">
        <f t="shared" si="12"/>
        <v>918.06000000000029</v>
      </c>
      <c r="G249" s="103">
        <f t="shared" si="16"/>
        <v>2715</v>
      </c>
      <c r="H249" s="103">
        <f t="shared" si="13"/>
        <v>181</v>
      </c>
    </row>
    <row r="250" spans="1:8" ht="21" x14ac:dyDescent="0.4">
      <c r="A250" s="111" t="s">
        <v>14</v>
      </c>
      <c r="B250" s="112">
        <v>20.350000000000001</v>
      </c>
      <c r="C250" s="111">
        <v>45151</v>
      </c>
      <c r="D250" s="100">
        <v>2023</v>
      </c>
      <c r="E250" s="104">
        <f t="shared" si="14"/>
        <v>933.06000000000029</v>
      </c>
      <c r="F250" s="102">
        <f t="shared" si="12"/>
        <v>912.71000000000026</v>
      </c>
      <c r="G250" s="103">
        <f t="shared" si="16"/>
        <v>2730</v>
      </c>
      <c r="H250" s="103">
        <f t="shared" si="13"/>
        <v>182</v>
      </c>
    </row>
    <row r="251" spans="1:8" ht="21" x14ac:dyDescent="0.4">
      <c r="A251" s="111" t="s">
        <v>106</v>
      </c>
      <c r="B251" s="112">
        <v>3.1</v>
      </c>
      <c r="C251" s="111">
        <v>45152</v>
      </c>
      <c r="D251" s="100">
        <v>2023</v>
      </c>
      <c r="E251" s="104">
        <f t="shared" si="14"/>
        <v>927.71000000000026</v>
      </c>
      <c r="F251" s="102">
        <f t="shared" si="12"/>
        <v>924.61000000000024</v>
      </c>
      <c r="G251" s="103">
        <f t="shared" si="16"/>
        <v>2745</v>
      </c>
      <c r="H251" s="103">
        <f t="shared" si="13"/>
        <v>183</v>
      </c>
    </row>
    <row r="252" spans="1:8" ht="21" x14ac:dyDescent="0.4">
      <c r="A252" s="111" t="s">
        <v>106</v>
      </c>
      <c r="B252" s="112">
        <v>1.8</v>
      </c>
      <c r="C252" s="111">
        <v>45153</v>
      </c>
      <c r="D252" s="100">
        <v>2023</v>
      </c>
      <c r="E252" s="104">
        <f t="shared" si="14"/>
        <v>939.61000000000024</v>
      </c>
      <c r="F252" s="102">
        <f t="shared" si="12"/>
        <v>937.81000000000029</v>
      </c>
      <c r="G252" s="103">
        <f t="shared" si="16"/>
        <v>2760</v>
      </c>
      <c r="H252" s="103">
        <f t="shared" si="13"/>
        <v>184</v>
      </c>
    </row>
    <row r="253" spans="1:8" ht="21" x14ac:dyDescent="0.4">
      <c r="A253" s="111" t="s">
        <v>106</v>
      </c>
      <c r="B253" s="112">
        <v>12</v>
      </c>
      <c r="C253" s="111">
        <v>45154</v>
      </c>
      <c r="D253" s="100">
        <v>2023</v>
      </c>
      <c r="E253" s="104">
        <f t="shared" si="14"/>
        <v>952.81000000000029</v>
      </c>
      <c r="F253" s="102">
        <f t="shared" si="12"/>
        <v>940.81000000000029</v>
      </c>
      <c r="G253" s="103">
        <f t="shared" si="16"/>
        <v>2775</v>
      </c>
      <c r="H253" s="103">
        <f t="shared" si="13"/>
        <v>185</v>
      </c>
    </row>
    <row r="254" spans="1:8" ht="21" x14ac:dyDescent="0.4">
      <c r="A254" s="111" t="s">
        <v>106</v>
      </c>
      <c r="B254" s="112">
        <v>16</v>
      </c>
      <c r="C254" s="111">
        <v>45155</v>
      </c>
      <c r="D254" s="100">
        <v>2023</v>
      </c>
      <c r="E254" s="104">
        <f t="shared" si="14"/>
        <v>955.81000000000029</v>
      </c>
      <c r="F254" s="102">
        <f t="shared" si="12"/>
        <v>939.81000000000029</v>
      </c>
      <c r="G254" s="103">
        <f t="shared" si="16"/>
        <v>2790</v>
      </c>
      <c r="H254" s="103">
        <f t="shared" si="13"/>
        <v>186</v>
      </c>
    </row>
    <row r="255" spans="1:8" ht="21" x14ac:dyDescent="0.4">
      <c r="A255" s="111" t="s">
        <v>106</v>
      </c>
      <c r="B255" s="112">
        <v>1.8</v>
      </c>
      <c r="C255" s="111">
        <v>45156</v>
      </c>
      <c r="D255" s="100">
        <v>2023</v>
      </c>
      <c r="E255" s="104">
        <f t="shared" si="14"/>
        <v>954.81000000000029</v>
      </c>
      <c r="F255" s="102">
        <f t="shared" si="12"/>
        <v>953.01000000000033</v>
      </c>
      <c r="G255" s="103">
        <f t="shared" si="16"/>
        <v>2805</v>
      </c>
      <c r="H255" s="103">
        <f t="shared" si="13"/>
        <v>187</v>
      </c>
    </row>
    <row r="256" spans="1:8" ht="21" x14ac:dyDescent="0.4">
      <c r="A256" s="111" t="s">
        <v>106</v>
      </c>
      <c r="B256" s="112">
        <v>1.8</v>
      </c>
      <c r="C256" s="111">
        <v>45157</v>
      </c>
      <c r="D256" s="100">
        <v>2023</v>
      </c>
      <c r="E256" s="104">
        <f t="shared" si="14"/>
        <v>968.01000000000033</v>
      </c>
      <c r="F256" s="102">
        <f t="shared" si="12"/>
        <v>966.21000000000038</v>
      </c>
      <c r="G256" s="103">
        <f t="shared" si="16"/>
        <v>2820</v>
      </c>
      <c r="H256" s="103">
        <f t="shared" si="13"/>
        <v>188</v>
      </c>
    </row>
    <row r="257" spans="1:8" ht="21" x14ac:dyDescent="0.4">
      <c r="A257" s="111" t="s">
        <v>120</v>
      </c>
      <c r="B257" s="112">
        <v>0</v>
      </c>
      <c r="C257" s="111">
        <v>45158</v>
      </c>
      <c r="D257" s="100">
        <v>2023</v>
      </c>
      <c r="E257" s="104">
        <f t="shared" si="14"/>
        <v>981.21000000000038</v>
      </c>
      <c r="F257" s="102">
        <f t="shared" si="12"/>
        <v>981.21000000000038</v>
      </c>
      <c r="G257" s="103">
        <f t="shared" si="16"/>
        <v>2835</v>
      </c>
      <c r="H257" s="103">
        <f t="shared" si="13"/>
        <v>189</v>
      </c>
    </row>
    <row r="258" spans="1:8" ht="21" x14ac:dyDescent="0.4">
      <c r="A258" s="111" t="s">
        <v>106</v>
      </c>
      <c r="B258" s="112">
        <v>19</v>
      </c>
      <c r="C258" s="111">
        <v>45159</v>
      </c>
      <c r="D258" s="100">
        <v>2023</v>
      </c>
      <c r="E258" s="104">
        <f t="shared" si="14"/>
        <v>996.21000000000038</v>
      </c>
      <c r="F258" s="102">
        <f t="shared" si="12"/>
        <v>977.21000000000038</v>
      </c>
      <c r="G258" s="103">
        <f t="shared" si="16"/>
        <v>2850</v>
      </c>
      <c r="H258" s="103">
        <f t="shared" si="13"/>
        <v>190</v>
      </c>
    </row>
    <row r="259" spans="1:8" ht="21" x14ac:dyDescent="0.4">
      <c r="A259" s="111" t="s">
        <v>106</v>
      </c>
      <c r="B259" s="112">
        <v>1.8</v>
      </c>
      <c r="C259" s="111">
        <v>45160</v>
      </c>
      <c r="D259" s="100">
        <v>2023</v>
      </c>
      <c r="E259" s="104">
        <f t="shared" si="14"/>
        <v>992.21000000000038</v>
      </c>
      <c r="F259" s="102">
        <f t="shared" ref="F259:F322" si="17">E259-B259</f>
        <v>990.41000000000042</v>
      </c>
      <c r="G259" s="103">
        <f t="shared" si="16"/>
        <v>2865</v>
      </c>
      <c r="H259" s="103">
        <f t="shared" ref="H259:H322" si="18">G259/15</f>
        <v>191</v>
      </c>
    </row>
    <row r="260" spans="1:8" ht="21" x14ac:dyDescent="0.4">
      <c r="A260" s="111" t="s">
        <v>14</v>
      </c>
      <c r="B260" s="112">
        <v>52.36</v>
      </c>
      <c r="C260" s="111">
        <v>45160</v>
      </c>
      <c r="D260" s="100">
        <v>2023</v>
      </c>
      <c r="E260" s="104">
        <f t="shared" ref="E260:E323" si="19">IF(C260=C259,F259,F259+15)</f>
        <v>990.41000000000042</v>
      </c>
      <c r="F260" s="102">
        <f t="shared" si="17"/>
        <v>938.05000000000041</v>
      </c>
      <c r="G260" s="103">
        <f t="shared" si="16"/>
        <v>2865</v>
      </c>
      <c r="H260" s="103">
        <f t="shared" si="18"/>
        <v>191</v>
      </c>
    </row>
    <row r="261" spans="1:8" ht="21" x14ac:dyDescent="0.4">
      <c r="A261" s="111" t="s">
        <v>106</v>
      </c>
      <c r="B261" s="112">
        <v>2.8</v>
      </c>
      <c r="C261" s="111">
        <v>45161</v>
      </c>
      <c r="D261" s="100">
        <v>2023</v>
      </c>
      <c r="E261" s="104">
        <f t="shared" si="19"/>
        <v>953.05000000000041</v>
      </c>
      <c r="F261" s="102">
        <f t="shared" si="17"/>
        <v>950.25000000000045</v>
      </c>
      <c r="G261" s="103">
        <f t="shared" si="16"/>
        <v>2880</v>
      </c>
      <c r="H261" s="103">
        <f t="shared" si="18"/>
        <v>192</v>
      </c>
    </row>
    <row r="262" spans="1:8" ht="21" x14ac:dyDescent="0.4">
      <c r="A262" s="111" t="s">
        <v>120</v>
      </c>
      <c r="B262" s="112">
        <v>0</v>
      </c>
      <c r="C262" s="111">
        <v>45162</v>
      </c>
      <c r="D262" s="100">
        <v>2023</v>
      </c>
      <c r="E262" s="104">
        <f t="shared" si="19"/>
        <v>965.25000000000045</v>
      </c>
      <c r="F262" s="102">
        <f t="shared" si="17"/>
        <v>965.25000000000045</v>
      </c>
      <c r="G262" s="103">
        <f t="shared" si="16"/>
        <v>2895</v>
      </c>
      <c r="H262" s="103">
        <f t="shared" si="18"/>
        <v>193</v>
      </c>
    </row>
    <row r="263" spans="1:8" ht="21" x14ac:dyDescent="0.4">
      <c r="A263" s="111" t="s">
        <v>106</v>
      </c>
      <c r="B263" s="112">
        <v>2</v>
      </c>
      <c r="C263" s="111">
        <v>45163</v>
      </c>
      <c r="D263" s="100">
        <v>2023</v>
      </c>
      <c r="E263" s="104">
        <f t="shared" si="19"/>
        <v>980.25000000000045</v>
      </c>
      <c r="F263" s="102">
        <f t="shared" si="17"/>
        <v>978.25000000000045</v>
      </c>
      <c r="G263" s="103">
        <f t="shared" si="16"/>
        <v>2910</v>
      </c>
      <c r="H263" s="103">
        <f t="shared" si="18"/>
        <v>194</v>
      </c>
    </row>
    <row r="264" spans="1:8" ht="21" x14ac:dyDescent="0.4">
      <c r="A264" s="111" t="s">
        <v>106</v>
      </c>
      <c r="B264" s="112">
        <v>24.5</v>
      </c>
      <c r="C264" s="111">
        <v>45164</v>
      </c>
      <c r="D264" s="100">
        <v>2023</v>
      </c>
      <c r="E264" s="104">
        <f t="shared" si="19"/>
        <v>993.25000000000045</v>
      </c>
      <c r="F264" s="102">
        <f t="shared" si="17"/>
        <v>968.75000000000045</v>
      </c>
      <c r="G264" s="103">
        <f t="shared" si="16"/>
        <v>2925</v>
      </c>
      <c r="H264" s="103">
        <f t="shared" si="18"/>
        <v>195</v>
      </c>
    </row>
    <row r="265" spans="1:8" ht="21" x14ac:dyDescent="0.4">
      <c r="A265" s="111" t="s">
        <v>14</v>
      </c>
      <c r="B265" s="112">
        <v>37.9</v>
      </c>
      <c r="C265" s="111">
        <v>45165</v>
      </c>
      <c r="D265" s="100">
        <v>2023</v>
      </c>
      <c r="E265" s="104">
        <f t="shared" si="19"/>
        <v>983.75000000000045</v>
      </c>
      <c r="F265" s="102">
        <f t="shared" si="17"/>
        <v>945.85000000000048</v>
      </c>
      <c r="G265" s="103">
        <f t="shared" si="16"/>
        <v>2940</v>
      </c>
      <c r="H265" s="103">
        <f t="shared" si="18"/>
        <v>196</v>
      </c>
    </row>
    <row r="266" spans="1:8" ht="21" x14ac:dyDescent="0.4">
      <c r="A266" s="111" t="s">
        <v>120</v>
      </c>
      <c r="B266" s="112">
        <v>0</v>
      </c>
      <c r="C266" s="111">
        <v>45166</v>
      </c>
      <c r="D266" s="100">
        <v>2023</v>
      </c>
      <c r="E266" s="104">
        <f t="shared" si="19"/>
        <v>960.85000000000048</v>
      </c>
      <c r="F266" s="102">
        <f t="shared" si="17"/>
        <v>960.85000000000048</v>
      </c>
      <c r="G266" s="103">
        <f t="shared" si="16"/>
        <v>2955</v>
      </c>
      <c r="H266" s="103">
        <f t="shared" si="18"/>
        <v>197</v>
      </c>
    </row>
    <row r="267" spans="1:8" ht="21" x14ac:dyDescent="0.4">
      <c r="A267" s="111" t="s">
        <v>106</v>
      </c>
      <c r="B267" s="112">
        <v>13.2</v>
      </c>
      <c r="C267" s="111">
        <v>45167</v>
      </c>
      <c r="D267" s="100">
        <v>2023</v>
      </c>
      <c r="E267" s="104">
        <f t="shared" si="19"/>
        <v>975.85000000000048</v>
      </c>
      <c r="F267" s="102">
        <f t="shared" si="17"/>
        <v>962.65000000000043</v>
      </c>
      <c r="G267" s="103">
        <f t="shared" si="16"/>
        <v>2970</v>
      </c>
      <c r="H267" s="103">
        <f t="shared" si="18"/>
        <v>198</v>
      </c>
    </row>
    <row r="268" spans="1:8" ht="21" x14ac:dyDescent="0.4">
      <c r="A268" s="111" t="s">
        <v>120</v>
      </c>
      <c r="B268" s="112">
        <v>0</v>
      </c>
      <c r="C268" s="111">
        <v>45168</v>
      </c>
      <c r="D268" s="100">
        <v>2023</v>
      </c>
      <c r="E268" s="104">
        <f t="shared" si="19"/>
        <v>977.65000000000043</v>
      </c>
      <c r="F268" s="102">
        <f t="shared" si="17"/>
        <v>977.65000000000043</v>
      </c>
      <c r="G268" s="103">
        <f t="shared" si="16"/>
        <v>2985</v>
      </c>
      <c r="H268" s="103">
        <f t="shared" si="18"/>
        <v>199</v>
      </c>
    </row>
    <row r="269" spans="1:8" ht="21" x14ac:dyDescent="0.4">
      <c r="A269" s="111" t="s">
        <v>106</v>
      </c>
      <c r="B269" s="112">
        <v>27</v>
      </c>
      <c r="C269" s="111">
        <v>45169</v>
      </c>
      <c r="D269" s="100">
        <v>2023</v>
      </c>
      <c r="E269" s="104">
        <f t="shared" si="19"/>
        <v>992.65000000000043</v>
      </c>
      <c r="F269" s="102">
        <f t="shared" si="17"/>
        <v>965.65000000000043</v>
      </c>
      <c r="G269" s="103">
        <f t="shared" si="16"/>
        <v>3000</v>
      </c>
      <c r="H269" s="103">
        <f t="shared" si="18"/>
        <v>200</v>
      </c>
    </row>
    <row r="270" spans="1:8" ht="21" x14ac:dyDescent="0.4">
      <c r="A270" s="111" t="s">
        <v>14</v>
      </c>
      <c r="B270" s="112">
        <v>42</v>
      </c>
      <c r="C270" s="111">
        <v>45170</v>
      </c>
      <c r="D270" s="100">
        <v>2023</v>
      </c>
      <c r="E270" s="104">
        <f t="shared" si="19"/>
        <v>980.65000000000043</v>
      </c>
      <c r="F270" s="102">
        <f t="shared" si="17"/>
        <v>938.65000000000043</v>
      </c>
      <c r="G270" s="103">
        <f t="shared" si="16"/>
        <v>3015</v>
      </c>
      <c r="H270" s="103">
        <f t="shared" si="18"/>
        <v>201</v>
      </c>
    </row>
    <row r="271" spans="1:8" ht="21" x14ac:dyDescent="0.4">
      <c r="A271" s="111" t="s">
        <v>106</v>
      </c>
      <c r="B271" s="112">
        <v>3.15</v>
      </c>
      <c r="C271" s="111">
        <v>45171</v>
      </c>
      <c r="D271" s="100">
        <v>2023</v>
      </c>
      <c r="E271" s="104">
        <f t="shared" si="19"/>
        <v>953.65000000000043</v>
      </c>
      <c r="F271" s="102">
        <f t="shared" si="17"/>
        <v>950.50000000000045</v>
      </c>
      <c r="G271" s="103">
        <f t="shared" si="16"/>
        <v>3030</v>
      </c>
      <c r="H271" s="103">
        <f t="shared" si="18"/>
        <v>202</v>
      </c>
    </row>
    <row r="272" spans="1:8" ht="21" x14ac:dyDescent="0.4">
      <c r="A272" s="111" t="s">
        <v>106</v>
      </c>
      <c r="B272" s="112">
        <v>17.5</v>
      </c>
      <c r="C272" s="111">
        <v>45172</v>
      </c>
      <c r="D272" s="100">
        <v>2023</v>
      </c>
      <c r="E272" s="104">
        <f t="shared" si="19"/>
        <v>965.50000000000045</v>
      </c>
      <c r="F272" s="102">
        <f t="shared" si="17"/>
        <v>948.00000000000045</v>
      </c>
      <c r="G272" s="103">
        <f t="shared" si="16"/>
        <v>3045</v>
      </c>
      <c r="H272" s="103">
        <f t="shared" si="18"/>
        <v>203</v>
      </c>
    </row>
    <row r="273" spans="1:8" ht="21" x14ac:dyDescent="0.4">
      <c r="A273" s="111" t="s">
        <v>106</v>
      </c>
      <c r="B273" s="112">
        <v>2.15</v>
      </c>
      <c r="C273" s="111">
        <v>45173</v>
      </c>
      <c r="D273" s="100">
        <v>2023</v>
      </c>
      <c r="E273" s="104">
        <f t="shared" si="19"/>
        <v>963.00000000000045</v>
      </c>
      <c r="F273" s="102">
        <f t="shared" si="17"/>
        <v>960.85000000000048</v>
      </c>
      <c r="G273" s="103">
        <f t="shared" si="16"/>
        <v>3060</v>
      </c>
      <c r="H273" s="103">
        <f t="shared" si="18"/>
        <v>204</v>
      </c>
    </row>
    <row r="274" spans="1:8" ht="21" x14ac:dyDescent="0.4">
      <c r="A274" s="111" t="s">
        <v>14</v>
      </c>
      <c r="B274" s="112">
        <v>50.2</v>
      </c>
      <c r="C274" s="111">
        <v>45173</v>
      </c>
      <c r="D274" s="100">
        <v>2023</v>
      </c>
      <c r="E274" s="104">
        <f t="shared" si="19"/>
        <v>960.85000000000048</v>
      </c>
      <c r="F274" s="102">
        <f t="shared" si="17"/>
        <v>910.65000000000043</v>
      </c>
      <c r="G274" s="103">
        <f t="shared" si="16"/>
        <v>3060</v>
      </c>
      <c r="H274" s="103">
        <f t="shared" si="18"/>
        <v>204</v>
      </c>
    </row>
    <row r="275" spans="1:8" ht="21" x14ac:dyDescent="0.4">
      <c r="A275" s="111" t="s">
        <v>106</v>
      </c>
      <c r="B275" s="112">
        <v>5.07</v>
      </c>
      <c r="C275" s="111">
        <v>45174</v>
      </c>
      <c r="D275" s="100">
        <v>2023</v>
      </c>
      <c r="E275" s="104">
        <f t="shared" si="19"/>
        <v>925.65000000000043</v>
      </c>
      <c r="F275" s="102">
        <f t="shared" si="17"/>
        <v>920.58000000000038</v>
      </c>
      <c r="G275" s="103">
        <f t="shared" si="16"/>
        <v>3075</v>
      </c>
      <c r="H275" s="103">
        <f t="shared" si="18"/>
        <v>205</v>
      </c>
    </row>
    <row r="276" spans="1:8" ht="21" x14ac:dyDescent="0.4">
      <c r="A276" s="111" t="s">
        <v>120</v>
      </c>
      <c r="B276" s="112">
        <v>0</v>
      </c>
      <c r="C276" s="111">
        <v>45175</v>
      </c>
      <c r="D276" s="100">
        <v>2023</v>
      </c>
      <c r="E276" s="104">
        <f t="shared" si="19"/>
        <v>935.58000000000038</v>
      </c>
      <c r="F276" s="102">
        <f t="shared" si="17"/>
        <v>935.58000000000038</v>
      </c>
      <c r="G276" s="103">
        <f t="shared" si="16"/>
        <v>3090</v>
      </c>
      <c r="H276" s="103">
        <f t="shared" si="18"/>
        <v>206</v>
      </c>
    </row>
    <row r="277" spans="1:8" ht="21" x14ac:dyDescent="0.4">
      <c r="A277" s="111" t="s">
        <v>106</v>
      </c>
      <c r="B277" s="112">
        <v>15.12</v>
      </c>
      <c r="C277" s="111">
        <v>45176</v>
      </c>
      <c r="D277" s="100">
        <v>2023</v>
      </c>
      <c r="E277" s="104">
        <f t="shared" si="19"/>
        <v>950.58000000000038</v>
      </c>
      <c r="F277" s="102">
        <f t="shared" si="17"/>
        <v>935.46000000000038</v>
      </c>
      <c r="G277" s="103">
        <f t="shared" si="16"/>
        <v>3105</v>
      </c>
      <c r="H277" s="103">
        <f t="shared" si="18"/>
        <v>207</v>
      </c>
    </row>
    <row r="278" spans="1:8" ht="21" x14ac:dyDescent="0.4">
      <c r="A278" s="111" t="s">
        <v>106</v>
      </c>
      <c r="B278" s="112">
        <v>4.5999999999999996</v>
      </c>
      <c r="C278" s="111">
        <v>45177</v>
      </c>
      <c r="D278" s="100">
        <v>2023</v>
      </c>
      <c r="E278" s="104">
        <f t="shared" si="19"/>
        <v>950.46000000000038</v>
      </c>
      <c r="F278" s="102">
        <f t="shared" si="17"/>
        <v>945.86000000000035</v>
      </c>
      <c r="G278" s="103">
        <f t="shared" si="16"/>
        <v>3120</v>
      </c>
      <c r="H278" s="103">
        <f t="shared" si="18"/>
        <v>208</v>
      </c>
    </row>
    <row r="279" spans="1:8" ht="21" x14ac:dyDescent="0.4">
      <c r="A279" s="111" t="s">
        <v>106</v>
      </c>
      <c r="B279" s="112">
        <v>9</v>
      </c>
      <c r="C279" s="111">
        <v>45178</v>
      </c>
      <c r="D279" s="100">
        <v>2023</v>
      </c>
      <c r="E279" s="104">
        <f t="shared" si="19"/>
        <v>960.86000000000035</v>
      </c>
      <c r="F279" s="102">
        <f t="shared" si="17"/>
        <v>951.86000000000035</v>
      </c>
      <c r="G279" s="103">
        <f t="shared" si="16"/>
        <v>3135</v>
      </c>
      <c r="H279" s="103">
        <f t="shared" si="18"/>
        <v>209</v>
      </c>
    </row>
    <row r="280" spans="1:8" ht="21" x14ac:dyDescent="0.4">
      <c r="A280" s="111" t="s">
        <v>120</v>
      </c>
      <c r="B280" s="112">
        <v>0</v>
      </c>
      <c r="C280" s="111">
        <v>45179</v>
      </c>
      <c r="D280" s="100">
        <v>2023</v>
      </c>
      <c r="E280" s="104">
        <f t="shared" si="19"/>
        <v>966.86000000000035</v>
      </c>
      <c r="F280" s="102">
        <f t="shared" si="17"/>
        <v>966.86000000000035</v>
      </c>
      <c r="G280" s="103">
        <f t="shared" si="16"/>
        <v>3150</v>
      </c>
      <c r="H280" s="103">
        <f t="shared" si="18"/>
        <v>210</v>
      </c>
    </row>
    <row r="281" spans="1:8" ht="21" x14ac:dyDescent="0.4">
      <c r="A281" s="111" t="s">
        <v>120</v>
      </c>
      <c r="B281" s="112">
        <v>0</v>
      </c>
      <c r="C281" s="111">
        <v>45180</v>
      </c>
      <c r="D281" s="100">
        <v>2023</v>
      </c>
      <c r="E281" s="104">
        <f t="shared" si="19"/>
        <v>981.86000000000035</v>
      </c>
      <c r="F281" s="102">
        <f t="shared" si="17"/>
        <v>981.86000000000035</v>
      </c>
      <c r="G281" s="103">
        <f t="shared" si="16"/>
        <v>3165</v>
      </c>
      <c r="H281" s="103">
        <f t="shared" si="18"/>
        <v>211</v>
      </c>
    </row>
    <row r="282" spans="1:8" ht="21" x14ac:dyDescent="0.4">
      <c r="A282" s="111" t="s">
        <v>106</v>
      </c>
      <c r="B282" s="112">
        <v>9</v>
      </c>
      <c r="C282" s="111">
        <v>45181</v>
      </c>
      <c r="D282" s="100">
        <v>2023</v>
      </c>
      <c r="E282" s="104">
        <f t="shared" si="19"/>
        <v>996.86000000000035</v>
      </c>
      <c r="F282" s="102">
        <f t="shared" si="17"/>
        <v>987.86000000000035</v>
      </c>
      <c r="G282" s="103">
        <f t="shared" si="16"/>
        <v>3180</v>
      </c>
      <c r="H282" s="103">
        <f t="shared" si="18"/>
        <v>212</v>
      </c>
    </row>
    <row r="283" spans="1:8" ht="21" x14ac:dyDescent="0.4">
      <c r="A283" s="111" t="s">
        <v>120</v>
      </c>
      <c r="B283" s="112">
        <v>0</v>
      </c>
      <c r="C283" s="111">
        <v>45182</v>
      </c>
      <c r="D283" s="100">
        <v>2023</v>
      </c>
      <c r="E283" s="104">
        <f t="shared" si="19"/>
        <v>1002.8600000000004</v>
      </c>
      <c r="F283" s="102">
        <f t="shared" si="17"/>
        <v>1002.8600000000004</v>
      </c>
      <c r="G283" s="103">
        <f t="shared" si="16"/>
        <v>3195</v>
      </c>
      <c r="H283" s="103">
        <f t="shared" si="18"/>
        <v>213</v>
      </c>
    </row>
    <row r="284" spans="1:8" ht="21" x14ac:dyDescent="0.4">
      <c r="A284" s="111" t="s">
        <v>106</v>
      </c>
      <c r="B284" s="112">
        <v>21.6</v>
      </c>
      <c r="C284" s="111">
        <v>45183</v>
      </c>
      <c r="D284" s="100">
        <v>2023</v>
      </c>
      <c r="E284" s="104">
        <f t="shared" si="19"/>
        <v>1017.8600000000004</v>
      </c>
      <c r="F284" s="102">
        <f t="shared" si="17"/>
        <v>996.26000000000033</v>
      </c>
      <c r="G284" s="103">
        <f t="shared" si="16"/>
        <v>3210</v>
      </c>
      <c r="H284" s="103">
        <f t="shared" si="18"/>
        <v>214</v>
      </c>
    </row>
    <row r="285" spans="1:8" ht="21" x14ac:dyDescent="0.4">
      <c r="A285" s="111" t="s">
        <v>14</v>
      </c>
      <c r="B285" s="112">
        <v>57.1</v>
      </c>
      <c r="C285" s="111">
        <v>45184</v>
      </c>
      <c r="D285" s="100">
        <v>2023</v>
      </c>
      <c r="E285" s="104">
        <f t="shared" si="19"/>
        <v>1011.2600000000003</v>
      </c>
      <c r="F285" s="102">
        <f t="shared" si="17"/>
        <v>954.16000000000031</v>
      </c>
      <c r="G285" s="103">
        <f t="shared" si="16"/>
        <v>3225</v>
      </c>
      <c r="H285" s="103">
        <f t="shared" si="18"/>
        <v>215</v>
      </c>
    </row>
    <row r="286" spans="1:8" ht="21" x14ac:dyDescent="0.4">
      <c r="A286" s="111" t="s">
        <v>106</v>
      </c>
      <c r="B286" s="112">
        <v>2.15</v>
      </c>
      <c r="C286" s="111">
        <v>45185</v>
      </c>
      <c r="D286" s="100">
        <v>2023</v>
      </c>
      <c r="E286" s="104">
        <f t="shared" si="19"/>
        <v>969.16000000000031</v>
      </c>
      <c r="F286" s="102">
        <f t="shared" si="17"/>
        <v>967.01000000000033</v>
      </c>
      <c r="G286" s="103">
        <f t="shared" si="16"/>
        <v>3240</v>
      </c>
      <c r="H286" s="103">
        <f t="shared" si="18"/>
        <v>216</v>
      </c>
    </row>
    <row r="287" spans="1:8" ht="21" x14ac:dyDescent="0.4">
      <c r="A287" s="111" t="s">
        <v>14</v>
      </c>
      <c r="B287" s="112">
        <v>31.2</v>
      </c>
      <c r="C287" s="111">
        <v>45185</v>
      </c>
      <c r="D287" s="100">
        <v>2023</v>
      </c>
      <c r="E287" s="104">
        <f t="shared" si="19"/>
        <v>967.01000000000033</v>
      </c>
      <c r="F287" s="102">
        <f t="shared" si="17"/>
        <v>935.81000000000029</v>
      </c>
      <c r="G287" s="103">
        <f t="shared" si="16"/>
        <v>3240</v>
      </c>
      <c r="H287" s="103">
        <f t="shared" si="18"/>
        <v>216</v>
      </c>
    </row>
    <row r="288" spans="1:8" ht="21" x14ac:dyDescent="0.4">
      <c r="A288" s="111" t="s">
        <v>106</v>
      </c>
      <c r="B288" s="112">
        <v>4.5</v>
      </c>
      <c r="C288" s="111">
        <v>45186</v>
      </c>
      <c r="D288" s="100">
        <v>2023</v>
      </c>
      <c r="E288" s="104">
        <f t="shared" si="19"/>
        <v>950.81000000000029</v>
      </c>
      <c r="F288" s="102">
        <f t="shared" si="17"/>
        <v>946.31000000000029</v>
      </c>
      <c r="G288" s="103">
        <f t="shared" si="16"/>
        <v>3255</v>
      </c>
      <c r="H288" s="103">
        <f t="shared" si="18"/>
        <v>217</v>
      </c>
    </row>
    <row r="289" spans="1:8" ht="21" x14ac:dyDescent="0.4">
      <c r="A289" s="111" t="s">
        <v>106</v>
      </c>
      <c r="B289" s="112">
        <v>15.35</v>
      </c>
      <c r="C289" s="111">
        <v>45186</v>
      </c>
      <c r="D289" s="100">
        <v>2023</v>
      </c>
      <c r="E289" s="104">
        <f t="shared" si="19"/>
        <v>946.31000000000029</v>
      </c>
      <c r="F289" s="102">
        <f t="shared" si="17"/>
        <v>930.96000000000026</v>
      </c>
      <c r="G289" s="103">
        <f t="shared" si="16"/>
        <v>3255</v>
      </c>
      <c r="H289" s="103">
        <f t="shared" si="18"/>
        <v>217</v>
      </c>
    </row>
    <row r="290" spans="1:8" ht="21" x14ac:dyDescent="0.4">
      <c r="A290" s="111" t="s">
        <v>106</v>
      </c>
      <c r="B290" s="112">
        <v>3</v>
      </c>
      <c r="C290" s="111">
        <v>45187</v>
      </c>
      <c r="D290" s="100">
        <v>2023</v>
      </c>
      <c r="E290" s="104">
        <f t="shared" si="19"/>
        <v>945.96000000000026</v>
      </c>
      <c r="F290" s="102">
        <f t="shared" si="17"/>
        <v>942.96000000000026</v>
      </c>
      <c r="G290" s="103">
        <f t="shared" si="16"/>
        <v>3270</v>
      </c>
      <c r="H290" s="103">
        <f t="shared" si="18"/>
        <v>218</v>
      </c>
    </row>
    <row r="291" spans="1:8" ht="21" x14ac:dyDescent="0.4">
      <c r="A291" s="111" t="s">
        <v>120</v>
      </c>
      <c r="B291" s="112">
        <v>0</v>
      </c>
      <c r="C291" s="111">
        <v>45188</v>
      </c>
      <c r="D291" s="100">
        <v>2023</v>
      </c>
      <c r="E291" s="104">
        <f t="shared" si="19"/>
        <v>957.96000000000026</v>
      </c>
      <c r="F291" s="102">
        <f t="shared" si="17"/>
        <v>957.96000000000026</v>
      </c>
      <c r="G291" s="103">
        <f t="shared" si="16"/>
        <v>3285</v>
      </c>
      <c r="H291" s="103">
        <f t="shared" si="18"/>
        <v>219</v>
      </c>
    </row>
    <row r="292" spans="1:8" ht="21" x14ac:dyDescent="0.4">
      <c r="A292" s="111" t="s">
        <v>106</v>
      </c>
      <c r="B292" s="112">
        <v>2.15</v>
      </c>
      <c r="C292" s="111">
        <v>45189</v>
      </c>
      <c r="D292" s="100">
        <v>2023</v>
      </c>
      <c r="E292" s="104">
        <f t="shared" si="19"/>
        <v>972.96000000000026</v>
      </c>
      <c r="F292" s="102">
        <f t="shared" si="17"/>
        <v>970.81000000000029</v>
      </c>
      <c r="G292" s="103">
        <f t="shared" ref="G292:G302" si="20">IF(C292&lt;&gt;C291, 15+G291,G291)</f>
        <v>3300</v>
      </c>
      <c r="H292" s="103">
        <f t="shared" si="18"/>
        <v>220</v>
      </c>
    </row>
    <row r="293" spans="1:8" ht="21" x14ac:dyDescent="0.4">
      <c r="A293" s="111" t="s">
        <v>106</v>
      </c>
      <c r="B293" s="112">
        <v>5.5</v>
      </c>
      <c r="C293" s="111">
        <v>45189</v>
      </c>
      <c r="D293" s="100">
        <v>2023</v>
      </c>
      <c r="E293" s="104">
        <f t="shared" si="19"/>
        <v>970.81000000000029</v>
      </c>
      <c r="F293" s="102">
        <f t="shared" si="17"/>
        <v>965.31000000000029</v>
      </c>
      <c r="G293" s="103">
        <f t="shared" si="20"/>
        <v>3300</v>
      </c>
      <c r="H293" s="103">
        <f t="shared" si="18"/>
        <v>220</v>
      </c>
    </row>
    <row r="294" spans="1:8" ht="21" x14ac:dyDescent="0.4">
      <c r="A294" s="111" t="s">
        <v>106</v>
      </c>
      <c r="B294" s="112">
        <v>33.799999999999997</v>
      </c>
      <c r="C294" s="111">
        <v>45190</v>
      </c>
      <c r="D294" s="100">
        <v>2023</v>
      </c>
      <c r="E294" s="104">
        <f t="shared" si="19"/>
        <v>980.31000000000029</v>
      </c>
      <c r="F294" s="102">
        <f t="shared" si="17"/>
        <v>946.51000000000033</v>
      </c>
      <c r="G294" s="103">
        <f t="shared" si="20"/>
        <v>3315</v>
      </c>
      <c r="H294" s="103">
        <f t="shared" si="18"/>
        <v>221</v>
      </c>
    </row>
    <row r="295" spans="1:8" ht="21" x14ac:dyDescent="0.4">
      <c r="A295" s="111" t="s">
        <v>14</v>
      </c>
      <c r="B295" s="112">
        <v>4.3499999999999996</v>
      </c>
      <c r="C295" s="111">
        <v>45191</v>
      </c>
      <c r="D295" s="100">
        <v>2023</v>
      </c>
      <c r="E295" s="104">
        <f t="shared" si="19"/>
        <v>961.51000000000033</v>
      </c>
      <c r="F295" s="102">
        <f t="shared" si="17"/>
        <v>957.16000000000031</v>
      </c>
      <c r="G295" s="103">
        <f t="shared" si="20"/>
        <v>3330</v>
      </c>
      <c r="H295" s="103">
        <f t="shared" si="18"/>
        <v>222</v>
      </c>
    </row>
    <row r="296" spans="1:8" ht="21" x14ac:dyDescent="0.4">
      <c r="A296" s="111" t="s">
        <v>120</v>
      </c>
      <c r="B296" s="112">
        <v>0</v>
      </c>
      <c r="C296" s="111">
        <v>45192</v>
      </c>
      <c r="D296" s="100">
        <v>2023</v>
      </c>
      <c r="E296" s="104">
        <f t="shared" si="19"/>
        <v>972.16000000000031</v>
      </c>
      <c r="F296" s="102">
        <f t="shared" si="17"/>
        <v>972.16000000000031</v>
      </c>
      <c r="G296" s="103">
        <f t="shared" si="20"/>
        <v>3345</v>
      </c>
      <c r="H296" s="103">
        <f t="shared" si="18"/>
        <v>223</v>
      </c>
    </row>
    <row r="297" spans="1:8" ht="21" x14ac:dyDescent="0.4">
      <c r="A297" s="111" t="s">
        <v>106</v>
      </c>
      <c r="B297" s="112">
        <v>4.8</v>
      </c>
      <c r="C297" s="111">
        <v>45193</v>
      </c>
      <c r="D297" s="100">
        <v>2023</v>
      </c>
      <c r="E297" s="104">
        <f t="shared" si="19"/>
        <v>987.16000000000031</v>
      </c>
      <c r="F297" s="102">
        <f t="shared" si="17"/>
        <v>982.36000000000035</v>
      </c>
      <c r="G297" s="103">
        <f t="shared" si="20"/>
        <v>3360</v>
      </c>
      <c r="H297" s="103">
        <f t="shared" si="18"/>
        <v>224</v>
      </c>
    </row>
    <row r="298" spans="1:8" ht="21" x14ac:dyDescent="0.4">
      <c r="A298" s="111" t="s">
        <v>14</v>
      </c>
      <c r="B298" s="112">
        <v>61</v>
      </c>
      <c r="C298" s="111">
        <v>45194</v>
      </c>
      <c r="D298" s="100">
        <v>2023</v>
      </c>
      <c r="E298" s="104">
        <f t="shared" si="19"/>
        <v>997.36000000000035</v>
      </c>
      <c r="F298" s="102">
        <f t="shared" si="17"/>
        <v>936.36000000000035</v>
      </c>
      <c r="G298" s="103">
        <f t="shared" si="20"/>
        <v>3375</v>
      </c>
      <c r="H298" s="103">
        <f t="shared" si="18"/>
        <v>225</v>
      </c>
    </row>
    <row r="299" spans="1:8" ht="21" x14ac:dyDescent="0.4">
      <c r="A299" s="111" t="s">
        <v>106</v>
      </c>
      <c r="B299" s="112">
        <v>8.5</v>
      </c>
      <c r="C299" s="111">
        <v>45195</v>
      </c>
      <c r="D299" s="100">
        <v>2023</v>
      </c>
      <c r="E299" s="104">
        <f t="shared" si="19"/>
        <v>951.36000000000035</v>
      </c>
      <c r="F299" s="102">
        <f t="shared" si="17"/>
        <v>942.86000000000035</v>
      </c>
      <c r="G299" s="103">
        <f t="shared" si="20"/>
        <v>3390</v>
      </c>
      <c r="H299" s="103">
        <f t="shared" si="18"/>
        <v>226</v>
      </c>
    </row>
    <row r="300" spans="1:8" ht="21" x14ac:dyDescent="0.4">
      <c r="A300" s="111" t="s">
        <v>106</v>
      </c>
      <c r="B300" s="112">
        <v>5.07</v>
      </c>
      <c r="C300" s="111">
        <v>45196</v>
      </c>
      <c r="D300" s="100">
        <v>2023</v>
      </c>
      <c r="E300" s="104">
        <f t="shared" si="19"/>
        <v>957.86000000000035</v>
      </c>
      <c r="F300" s="102">
        <f t="shared" si="17"/>
        <v>952.7900000000003</v>
      </c>
      <c r="G300" s="103">
        <f t="shared" si="20"/>
        <v>3405</v>
      </c>
      <c r="H300" s="103">
        <f t="shared" si="18"/>
        <v>227</v>
      </c>
    </row>
    <row r="301" spans="1:8" ht="21" x14ac:dyDescent="0.4">
      <c r="A301" s="111" t="s">
        <v>120</v>
      </c>
      <c r="B301" s="112">
        <v>0</v>
      </c>
      <c r="C301" s="111">
        <v>45197</v>
      </c>
      <c r="D301" s="100">
        <v>2023</v>
      </c>
      <c r="E301" s="104">
        <f t="shared" si="19"/>
        <v>967.7900000000003</v>
      </c>
      <c r="F301" s="102">
        <f t="shared" si="17"/>
        <v>967.7900000000003</v>
      </c>
      <c r="G301" s="103">
        <f t="shared" si="20"/>
        <v>3420</v>
      </c>
      <c r="H301" s="103">
        <f t="shared" si="18"/>
        <v>228</v>
      </c>
    </row>
    <row r="302" spans="1:8" ht="21" x14ac:dyDescent="0.4">
      <c r="A302" s="111" t="s">
        <v>106</v>
      </c>
      <c r="B302" s="112">
        <v>5.07</v>
      </c>
      <c r="C302" s="111">
        <v>45198</v>
      </c>
      <c r="D302" s="100">
        <v>2023</v>
      </c>
      <c r="E302" s="104">
        <f t="shared" si="19"/>
        <v>982.7900000000003</v>
      </c>
      <c r="F302" s="102">
        <f t="shared" si="17"/>
        <v>977.72000000000025</v>
      </c>
      <c r="G302" s="103">
        <f t="shared" si="20"/>
        <v>3435</v>
      </c>
      <c r="H302" s="103">
        <f t="shared" si="18"/>
        <v>229</v>
      </c>
    </row>
    <row r="303" spans="1:8" ht="21" x14ac:dyDescent="0.4">
      <c r="A303" s="111" t="s">
        <v>120</v>
      </c>
      <c r="B303" s="112">
        <v>0</v>
      </c>
      <c r="C303" s="111">
        <v>45199</v>
      </c>
      <c r="D303" s="100">
        <v>2023</v>
      </c>
      <c r="E303" s="104">
        <f t="shared" si="19"/>
        <v>992.72000000000025</v>
      </c>
      <c r="F303" s="102">
        <f t="shared" si="17"/>
        <v>992.72000000000025</v>
      </c>
      <c r="G303" s="103">
        <f>IF(C303&lt;&gt;C302, 15+G302,G302)</f>
        <v>3450</v>
      </c>
      <c r="H303" s="103">
        <f t="shared" si="18"/>
        <v>230</v>
      </c>
    </row>
    <row r="304" spans="1:8" ht="21" x14ac:dyDescent="0.4">
      <c r="A304" s="111" t="s">
        <v>106</v>
      </c>
      <c r="B304" s="112">
        <v>1.5</v>
      </c>
      <c r="C304" s="111">
        <v>45200</v>
      </c>
      <c r="D304" s="100">
        <v>2023</v>
      </c>
      <c r="E304" s="104">
        <f t="shared" si="19"/>
        <v>1007.7200000000003</v>
      </c>
      <c r="F304" s="102">
        <f t="shared" si="17"/>
        <v>1006.2200000000003</v>
      </c>
      <c r="G304" s="103">
        <f t="shared" ref="G304:G337" si="21">IF(C304&lt;&gt;C303, 15+G303,G303)</f>
        <v>3465</v>
      </c>
      <c r="H304" s="103">
        <f t="shared" si="18"/>
        <v>231</v>
      </c>
    </row>
    <row r="305" spans="1:8" ht="21" x14ac:dyDescent="0.4">
      <c r="A305" s="111" t="s">
        <v>106</v>
      </c>
      <c r="B305" s="112">
        <v>5.07</v>
      </c>
      <c r="C305" s="111">
        <v>45200</v>
      </c>
      <c r="D305" s="100">
        <v>2023</v>
      </c>
      <c r="E305" s="104">
        <f t="shared" si="19"/>
        <v>1006.2200000000003</v>
      </c>
      <c r="F305" s="102">
        <f t="shared" si="17"/>
        <v>1001.1500000000002</v>
      </c>
      <c r="G305" s="103">
        <f t="shared" si="21"/>
        <v>3465</v>
      </c>
      <c r="H305" s="103">
        <f t="shared" si="18"/>
        <v>231</v>
      </c>
    </row>
    <row r="306" spans="1:8" ht="21" x14ac:dyDescent="0.4">
      <c r="A306" s="111" t="s">
        <v>106</v>
      </c>
      <c r="B306" s="112">
        <v>14</v>
      </c>
      <c r="C306" s="111">
        <v>45201</v>
      </c>
      <c r="D306" s="100">
        <v>2023</v>
      </c>
      <c r="E306" s="104">
        <f t="shared" si="19"/>
        <v>1016.1500000000002</v>
      </c>
      <c r="F306" s="102">
        <f t="shared" si="17"/>
        <v>1002.1500000000002</v>
      </c>
      <c r="G306" s="103">
        <f t="shared" si="21"/>
        <v>3480</v>
      </c>
      <c r="H306" s="103">
        <f t="shared" si="18"/>
        <v>232</v>
      </c>
    </row>
    <row r="307" spans="1:8" ht="21" x14ac:dyDescent="0.4">
      <c r="A307" s="111" t="s">
        <v>106</v>
      </c>
      <c r="B307" s="112">
        <v>4</v>
      </c>
      <c r="C307" s="111">
        <v>45202</v>
      </c>
      <c r="D307" s="100">
        <v>2023</v>
      </c>
      <c r="E307" s="104">
        <f t="shared" si="19"/>
        <v>1017.1500000000002</v>
      </c>
      <c r="F307" s="102">
        <f t="shared" si="17"/>
        <v>1013.1500000000002</v>
      </c>
      <c r="G307" s="103">
        <f t="shared" si="21"/>
        <v>3495</v>
      </c>
      <c r="H307" s="103">
        <f t="shared" si="18"/>
        <v>233</v>
      </c>
    </row>
    <row r="308" spans="1:8" ht="21" x14ac:dyDescent="0.4">
      <c r="A308" s="111" t="s">
        <v>14</v>
      </c>
      <c r="B308" s="112">
        <v>49.2</v>
      </c>
      <c r="C308" s="111">
        <v>45202</v>
      </c>
      <c r="D308" s="100">
        <v>2023</v>
      </c>
      <c r="E308" s="104">
        <f t="shared" si="19"/>
        <v>1013.1500000000002</v>
      </c>
      <c r="F308" s="102">
        <f t="shared" si="17"/>
        <v>963.95000000000016</v>
      </c>
      <c r="G308" s="103">
        <f t="shared" si="21"/>
        <v>3495</v>
      </c>
      <c r="H308" s="103">
        <f t="shared" si="18"/>
        <v>233</v>
      </c>
    </row>
    <row r="309" spans="1:8" ht="21" x14ac:dyDescent="0.4">
      <c r="A309" s="111" t="s">
        <v>120</v>
      </c>
      <c r="B309" s="112">
        <v>0</v>
      </c>
      <c r="C309" s="111">
        <v>45203</v>
      </c>
      <c r="D309" s="100">
        <v>2023</v>
      </c>
      <c r="E309" s="104">
        <f t="shared" si="19"/>
        <v>978.95000000000016</v>
      </c>
      <c r="F309" s="102">
        <f t="shared" si="17"/>
        <v>978.95000000000016</v>
      </c>
      <c r="G309" s="103">
        <f t="shared" si="21"/>
        <v>3510</v>
      </c>
      <c r="H309" s="103">
        <f t="shared" si="18"/>
        <v>234</v>
      </c>
    </row>
    <row r="310" spans="1:8" ht="21" x14ac:dyDescent="0.4">
      <c r="A310" s="111" t="s">
        <v>106</v>
      </c>
      <c r="B310" s="112">
        <v>23.5</v>
      </c>
      <c r="C310" s="111">
        <v>45204</v>
      </c>
      <c r="D310" s="100">
        <v>2023</v>
      </c>
      <c r="E310" s="104">
        <f t="shared" si="19"/>
        <v>993.95000000000016</v>
      </c>
      <c r="F310" s="102">
        <f t="shared" si="17"/>
        <v>970.45000000000016</v>
      </c>
      <c r="G310" s="103">
        <f t="shared" si="21"/>
        <v>3525</v>
      </c>
      <c r="H310" s="103">
        <f t="shared" si="18"/>
        <v>235</v>
      </c>
    </row>
    <row r="311" spans="1:8" ht="21" x14ac:dyDescent="0.4">
      <c r="A311" s="111" t="s">
        <v>120</v>
      </c>
      <c r="B311" s="112">
        <v>0</v>
      </c>
      <c r="C311" s="111">
        <v>45205</v>
      </c>
      <c r="D311" s="100">
        <v>2023</v>
      </c>
      <c r="E311" s="104">
        <f t="shared" si="19"/>
        <v>985.45000000000016</v>
      </c>
      <c r="F311" s="102">
        <f t="shared" si="17"/>
        <v>985.45000000000016</v>
      </c>
      <c r="G311" s="103">
        <f t="shared" si="21"/>
        <v>3540</v>
      </c>
      <c r="H311" s="103">
        <f t="shared" si="18"/>
        <v>236</v>
      </c>
    </row>
    <row r="312" spans="1:8" ht="21" x14ac:dyDescent="0.4">
      <c r="A312" s="111" t="s">
        <v>106</v>
      </c>
      <c r="B312" s="112">
        <v>45.5</v>
      </c>
      <c r="C312" s="111">
        <v>45206</v>
      </c>
      <c r="D312" s="100">
        <v>2023</v>
      </c>
      <c r="E312" s="104">
        <f t="shared" si="19"/>
        <v>1000.4500000000002</v>
      </c>
      <c r="F312" s="102">
        <f t="shared" si="17"/>
        <v>954.95000000000016</v>
      </c>
      <c r="G312" s="103">
        <f t="shared" si="21"/>
        <v>3555</v>
      </c>
      <c r="H312" s="103">
        <f t="shared" si="18"/>
        <v>237</v>
      </c>
    </row>
    <row r="313" spans="1:8" ht="21" x14ac:dyDescent="0.4">
      <c r="A313" s="111" t="s">
        <v>106</v>
      </c>
      <c r="B313" s="112">
        <v>4</v>
      </c>
      <c r="C313" s="111">
        <v>45207</v>
      </c>
      <c r="D313" s="100">
        <v>2023</v>
      </c>
      <c r="E313" s="104">
        <f t="shared" si="19"/>
        <v>969.95000000000016</v>
      </c>
      <c r="F313" s="102">
        <f t="shared" si="17"/>
        <v>965.95000000000016</v>
      </c>
      <c r="G313" s="103">
        <f t="shared" si="21"/>
        <v>3570</v>
      </c>
      <c r="H313" s="103">
        <f t="shared" si="18"/>
        <v>238</v>
      </c>
    </row>
    <row r="314" spans="1:8" ht="21" x14ac:dyDescent="0.4">
      <c r="A314" s="111" t="s">
        <v>106</v>
      </c>
      <c r="B314" s="112">
        <v>7.2</v>
      </c>
      <c r="C314" s="111">
        <v>45208</v>
      </c>
      <c r="D314" s="100">
        <v>2023</v>
      </c>
      <c r="E314" s="104">
        <f t="shared" si="19"/>
        <v>980.95000000000016</v>
      </c>
      <c r="F314" s="102">
        <f t="shared" si="17"/>
        <v>973.75000000000011</v>
      </c>
      <c r="G314" s="103">
        <f t="shared" si="21"/>
        <v>3585</v>
      </c>
      <c r="H314" s="103">
        <f t="shared" si="18"/>
        <v>239</v>
      </c>
    </row>
    <row r="315" spans="1:8" ht="21" x14ac:dyDescent="0.4">
      <c r="A315" s="111" t="s">
        <v>14</v>
      </c>
      <c r="B315" s="112">
        <v>40</v>
      </c>
      <c r="C315" s="111">
        <v>45209</v>
      </c>
      <c r="D315" s="100">
        <v>2023</v>
      </c>
      <c r="E315" s="104">
        <f t="shared" si="19"/>
        <v>988.75000000000011</v>
      </c>
      <c r="F315" s="102">
        <f t="shared" si="17"/>
        <v>948.75000000000011</v>
      </c>
      <c r="G315" s="103">
        <f t="shared" si="21"/>
        <v>3600</v>
      </c>
      <c r="H315" s="103">
        <f t="shared" si="18"/>
        <v>240</v>
      </c>
    </row>
    <row r="316" spans="1:8" ht="21" x14ac:dyDescent="0.4">
      <c r="A316" s="111" t="s">
        <v>106</v>
      </c>
      <c r="B316" s="112">
        <v>5</v>
      </c>
      <c r="C316" s="111">
        <v>45210</v>
      </c>
      <c r="D316" s="100">
        <v>2023</v>
      </c>
      <c r="E316" s="104">
        <f t="shared" si="19"/>
        <v>963.75000000000011</v>
      </c>
      <c r="F316" s="102">
        <f t="shared" si="17"/>
        <v>958.75000000000011</v>
      </c>
      <c r="G316" s="103">
        <f t="shared" si="21"/>
        <v>3615</v>
      </c>
      <c r="H316" s="103">
        <f t="shared" si="18"/>
        <v>241</v>
      </c>
    </row>
    <row r="317" spans="1:8" ht="21" x14ac:dyDescent="0.4">
      <c r="A317" s="111" t="s">
        <v>120</v>
      </c>
      <c r="B317" s="112">
        <v>0</v>
      </c>
      <c r="C317" s="111">
        <v>45211</v>
      </c>
      <c r="D317" s="100">
        <v>2023</v>
      </c>
      <c r="E317" s="104">
        <f t="shared" si="19"/>
        <v>973.75000000000011</v>
      </c>
      <c r="F317" s="102">
        <f t="shared" si="17"/>
        <v>973.75000000000011</v>
      </c>
      <c r="G317" s="103">
        <f t="shared" si="21"/>
        <v>3630</v>
      </c>
      <c r="H317" s="103">
        <f t="shared" si="18"/>
        <v>242</v>
      </c>
    </row>
    <row r="318" spans="1:8" ht="21" x14ac:dyDescent="0.4">
      <c r="A318" s="111" t="s">
        <v>106</v>
      </c>
      <c r="B318" s="112">
        <v>70</v>
      </c>
      <c r="C318" s="111">
        <v>45212</v>
      </c>
      <c r="D318" s="100">
        <v>2023</v>
      </c>
      <c r="E318" s="104">
        <f t="shared" si="19"/>
        <v>988.75000000000011</v>
      </c>
      <c r="F318" s="102">
        <f t="shared" si="17"/>
        <v>918.75000000000011</v>
      </c>
      <c r="G318" s="103">
        <f t="shared" si="21"/>
        <v>3645</v>
      </c>
      <c r="H318" s="103">
        <f t="shared" si="18"/>
        <v>243</v>
      </c>
    </row>
    <row r="319" spans="1:8" ht="21" x14ac:dyDescent="0.4">
      <c r="A319" s="111" t="s">
        <v>106</v>
      </c>
      <c r="B319" s="112">
        <v>16</v>
      </c>
      <c r="C319" s="111">
        <v>45213</v>
      </c>
      <c r="D319" s="100">
        <v>2023</v>
      </c>
      <c r="E319" s="104">
        <f t="shared" si="19"/>
        <v>933.75000000000011</v>
      </c>
      <c r="F319" s="102">
        <f t="shared" si="17"/>
        <v>917.75000000000011</v>
      </c>
      <c r="G319" s="103">
        <f t="shared" si="21"/>
        <v>3660</v>
      </c>
      <c r="H319" s="103">
        <f t="shared" si="18"/>
        <v>244</v>
      </c>
    </row>
    <row r="320" spans="1:8" ht="21" x14ac:dyDescent="0.4">
      <c r="A320" s="111" t="s">
        <v>106</v>
      </c>
      <c r="B320" s="112">
        <v>27.5</v>
      </c>
      <c r="C320" s="111">
        <v>45214</v>
      </c>
      <c r="D320" s="100">
        <v>2023</v>
      </c>
      <c r="E320" s="104">
        <f t="shared" si="19"/>
        <v>932.75000000000011</v>
      </c>
      <c r="F320" s="102">
        <f t="shared" si="17"/>
        <v>905.25000000000011</v>
      </c>
      <c r="G320" s="103">
        <f t="shared" si="21"/>
        <v>3675</v>
      </c>
      <c r="H320" s="103">
        <f t="shared" si="18"/>
        <v>245</v>
      </c>
    </row>
    <row r="321" spans="1:8" ht="21" x14ac:dyDescent="0.4">
      <c r="A321" s="111" t="s">
        <v>106</v>
      </c>
      <c r="B321" s="112">
        <v>24.8</v>
      </c>
      <c r="C321" s="111">
        <v>45215</v>
      </c>
      <c r="D321" s="100">
        <v>2023</v>
      </c>
      <c r="E321" s="104">
        <f t="shared" si="19"/>
        <v>920.25000000000011</v>
      </c>
      <c r="F321" s="102">
        <f t="shared" si="17"/>
        <v>895.45000000000016</v>
      </c>
      <c r="G321" s="103">
        <f t="shared" si="21"/>
        <v>3690</v>
      </c>
      <c r="H321" s="103">
        <f t="shared" si="18"/>
        <v>246</v>
      </c>
    </row>
    <row r="322" spans="1:8" ht="21" x14ac:dyDescent="0.4">
      <c r="A322" s="111" t="s">
        <v>120</v>
      </c>
      <c r="B322" s="112">
        <v>0</v>
      </c>
      <c r="C322" s="111">
        <v>45216</v>
      </c>
      <c r="D322" s="100">
        <v>2023</v>
      </c>
      <c r="E322" s="104">
        <f t="shared" si="19"/>
        <v>910.45000000000016</v>
      </c>
      <c r="F322" s="102">
        <f t="shared" si="17"/>
        <v>910.45000000000016</v>
      </c>
      <c r="G322" s="103">
        <f t="shared" si="21"/>
        <v>3705</v>
      </c>
      <c r="H322" s="103">
        <f t="shared" si="18"/>
        <v>247</v>
      </c>
    </row>
    <row r="323" spans="1:8" ht="21" x14ac:dyDescent="0.4">
      <c r="A323" s="111" t="s">
        <v>106</v>
      </c>
      <c r="B323" s="112">
        <v>6</v>
      </c>
      <c r="C323" s="111">
        <v>45217</v>
      </c>
      <c r="D323" s="100">
        <v>2023</v>
      </c>
      <c r="E323" s="104">
        <f t="shared" si="19"/>
        <v>925.45000000000016</v>
      </c>
      <c r="F323" s="102">
        <f t="shared" ref="F323:F386" si="22">E323-B323</f>
        <v>919.45000000000016</v>
      </c>
      <c r="G323" s="103">
        <f t="shared" si="21"/>
        <v>3720</v>
      </c>
      <c r="H323" s="103">
        <f t="shared" ref="H323:H386" si="23">G323/15</f>
        <v>248</v>
      </c>
    </row>
    <row r="324" spans="1:8" ht="21" x14ac:dyDescent="0.4">
      <c r="A324" s="111" t="s">
        <v>106</v>
      </c>
      <c r="B324" s="112">
        <v>3.2</v>
      </c>
      <c r="C324" s="111">
        <v>45218</v>
      </c>
      <c r="D324" s="100">
        <v>2023</v>
      </c>
      <c r="E324" s="104">
        <f t="shared" ref="E324:E387" si="24">IF(C324=C323,F323,F323+15)</f>
        <v>934.45000000000016</v>
      </c>
      <c r="F324" s="102">
        <f t="shared" si="22"/>
        <v>931.25000000000011</v>
      </c>
      <c r="G324" s="103">
        <f t="shared" si="21"/>
        <v>3735</v>
      </c>
      <c r="H324" s="103">
        <f t="shared" si="23"/>
        <v>249</v>
      </c>
    </row>
    <row r="325" spans="1:8" ht="21" x14ac:dyDescent="0.4">
      <c r="A325" s="111" t="s">
        <v>106</v>
      </c>
      <c r="B325" s="112">
        <v>1.5</v>
      </c>
      <c r="C325" s="111">
        <v>45219</v>
      </c>
      <c r="D325" s="100">
        <v>2023</v>
      </c>
      <c r="E325" s="104">
        <f t="shared" si="24"/>
        <v>946.25000000000011</v>
      </c>
      <c r="F325" s="102">
        <f t="shared" si="22"/>
        <v>944.75000000000011</v>
      </c>
      <c r="G325" s="103">
        <f t="shared" si="21"/>
        <v>3750</v>
      </c>
      <c r="H325" s="103">
        <f t="shared" si="23"/>
        <v>250</v>
      </c>
    </row>
    <row r="326" spans="1:8" ht="21" x14ac:dyDescent="0.4">
      <c r="A326" s="111" t="s">
        <v>14</v>
      </c>
      <c r="B326" s="112">
        <v>85.9</v>
      </c>
      <c r="C326" s="111">
        <v>45220</v>
      </c>
      <c r="D326" s="100">
        <v>2023</v>
      </c>
      <c r="E326" s="104">
        <f t="shared" si="24"/>
        <v>959.75000000000011</v>
      </c>
      <c r="F326" s="102">
        <f t="shared" si="22"/>
        <v>873.85000000000014</v>
      </c>
      <c r="G326" s="103">
        <f t="shared" si="21"/>
        <v>3765</v>
      </c>
      <c r="H326" s="103">
        <f t="shared" si="23"/>
        <v>251</v>
      </c>
    </row>
    <row r="327" spans="1:8" ht="21" x14ac:dyDescent="0.4">
      <c r="A327" s="111" t="s">
        <v>106</v>
      </c>
      <c r="B327" s="112">
        <v>8</v>
      </c>
      <c r="C327" s="111">
        <v>45221</v>
      </c>
      <c r="D327" s="100">
        <v>2023</v>
      </c>
      <c r="E327" s="104">
        <f t="shared" si="24"/>
        <v>888.85000000000014</v>
      </c>
      <c r="F327" s="102">
        <f t="shared" si="22"/>
        <v>880.85000000000014</v>
      </c>
      <c r="G327" s="103">
        <f t="shared" si="21"/>
        <v>3780</v>
      </c>
      <c r="H327" s="103">
        <f t="shared" si="23"/>
        <v>252</v>
      </c>
    </row>
    <row r="328" spans="1:8" ht="21" x14ac:dyDescent="0.4">
      <c r="A328" s="111" t="s">
        <v>120</v>
      </c>
      <c r="B328" s="112">
        <v>0</v>
      </c>
      <c r="C328" s="111">
        <v>45222</v>
      </c>
      <c r="D328" s="100">
        <v>2023</v>
      </c>
      <c r="E328" s="104">
        <f t="shared" si="24"/>
        <v>895.85000000000014</v>
      </c>
      <c r="F328" s="102">
        <f t="shared" si="22"/>
        <v>895.85000000000014</v>
      </c>
      <c r="G328" s="103">
        <f t="shared" si="21"/>
        <v>3795</v>
      </c>
      <c r="H328" s="103">
        <f t="shared" si="23"/>
        <v>253</v>
      </c>
    </row>
    <row r="329" spans="1:8" ht="21" x14ac:dyDescent="0.4">
      <c r="A329" s="111" t="s">
        <v>106</v>
      </c>
      <c r="B329" s="112">
        <v>4.45</v>
      </c>
      <c r="C329" s="111">
        <v>45223</v>
      </c>
      <c r="D329" s="100">
        <v>2023</v>
      </c>
      <c r="E329" s="104">
        <f t="shared" si="24"/>
        <v>910.85000000000014</v>
      </c>
      <c r="F329" s="102">
        <f t="shared" si="22"/>
        <v>906.40000000000009</v>
      </c>
      <c r="G329" s="103">
        <f t="shared" si="21"/>
        <v>3810</v>
      </c>
      <c r="H329" s="103">
        <f t="shared" si="23"/>
        <v>254</v>
      </c>
    </row>
    <row r="330" spans="1:8" ht="21" x14ac:dyDescent="0.4">
      <c r="A330" s="111" t="s">
        <v>120</v>
      </c>
      <c r="B330" s="112">
        <v>0</v>
      </c>
      <c r="C330" s="111">
        <v>45224</v>
      </c>
      <c r="D330" s="100">
        <v>2023</v>
      </c>
      <c r="E330" s="104">
        <f t="shared" si="24"/>
        <v>921.40000000000009</v>
      </c>
      <c r="F330" s="102">
        <f t="shared" si="22"/>
        <v>921.40000000000009</v>
      </c>
      <c r="G330" s="103">
        <f t="shared" si="21"/>
        <v>3825</v>
      </c>
      <c r="H330" s="103">
        <f t="shared" si="23"/>
        <v>255</v>
      </c>
    </row>
    <row r="331" spans="1:8" ht="21" x14ac:dyDescent="0.4">
      <c r="A331" s="111" t="s">
        <v>106</v>
      </c>
      <c r="B331" s="112">
        <v>2.65</v>
      </c>
      <c r="C331" s="111">
        <v>45225</v>
      </c>
      <c r="D331" s="100">
        <v>2023</v>
      </c>
      <c r="E331" s="104">
        <f t="shared" si="24"/>
        <v>936.40000000000009</v>
      </c>
      <c r="F331" s="102">
        <f t="shared" si="22"/>
        <v>933.75000000000011</v>
      </c>
      <c r="G331" s="103">
        <f t="shared" si="21"/>
        <v>3840</v>
      </c>
      <c r="H331" s="103">
        <f t="shared" si="23"/>
        <v>256</v>
      </c>
    </row>
    <row r="332" spans="1:8" ht="21" x14ac:dyDescent="0.4">
      <c r="A332" s="111" t="s">
        <v>120</v>
      </c>
      <c r="B332" s="112">
        <v>0</v>
      </c>
      <c r="C332" s="111">
        <v>45226</v>
      </c>
      <c r="D332" s="100">
        <v>2023</v>
      </c>
      <c r="E332" s="104">
        <f t="shared" si="24"/>
        <v>948.75000000000011</v>
      </c>
      <c r="F332" s="102">
        <f t="shared" si="22"/>
        <v>948.75000000000011</v>
      </c>
      <c r="G332" s="103">
        <f t="shared" si="21"/>
        <v>3855</v>
      </c>
      <c r="H332" s="103">
        <f t="shared" si="23"/>
        <v>257</v>
      </c>
    </row>
    <row r="333" spans="1:8" ht="21" x14ac:dyDescent="0.4">
      <c r="A333" s="111" t="s">
        <v>120</v>
      </c>
      <c r="B333" s="112">
        <v>0</v>
      </c>
      <c r="C333" s="111">
        <v>45227</v>
      </c>
      <c r="D333" s="100">
        <v>2023</v>
      </c>
      <c r="E333" s="104">
        <f t="shared" si="24"/>
        <v>963.75000000000011</v>
      </c>
      <c r="F333" s="102">
        <f t="shared" si="22"/>
        <v>963.75000000000011</v>
      </c>
      <c r="G333" s="103">
        <f t="shared" si="21"/>
        <v>3870</v>
      </c>
      <c r="H333" s="103">
        <f t="shared" si="23"/>
        <v>258</v>
      </c>
    </row>
    <row r="334" spans="1:8" ht="21" x14ac:dyDescent="0.4">
      <c r="A334" s="111" t="s">
        <v>106</v>
      </c>
      <c r="B334" s="112">
        <v>6</v>
      </c>
      <c r="C334" s="111">
        <v>45228</v>
      </c>
      <c r="D334" s="100">
        <v>2023</v>
      </c>
      <c r="E334" s="104">
        <f t="shared" si="24"/>
        <v>978.75000000000011</v>
      </c>
      <c r="F334" s="102">
        <f t="shared" si="22"/>
        <v>972.75000000000011</v>
      </c>
      <c r="G334" s="103">
        <f t="shared" si="21"/>
        <v>3885</v>
      </c>
      <c r="H334" s="103">
        <f t="shared" si="23"/>
        <v>259</v>
      </c>
    </row>
    <row r="335" spans="1:8" ht="21" x14ac:dyDescent="0.4">
      <c r="A335" s="111" t="s">
        <v>106</v>
      </c>
      <c r="B335" s="112">
        <v>46</v>
      </c>
      <c r="C335" s="111">
        <v>45229</v>
      </c>
      <c r="D335" s="100">
        <v>2023</v>
      </c>
      <c r="E335" s="104">
        <f t="shared" si="24"/>
        <v>987.75000000000011</v>
      </c>
      <c r="F335" s="102">
        <f t="shared" si="22"/>
        <v>941.75000000000011</v>
      </c>
      <c r="G335" s="103">
        <f t="shared" si="21"/>
        <v>3900</v>
      </c>
      <c r="H335" s="103">
        <f t="shared" si="23"/>
        <v>260</v>
      </c>
    </row>
    <row r="336" spans="1:8" ht="21" x14ac:dyDescent="0.4">
      <c r="A336" s="111" t="s">
        <v>106</v>
      </c>
      <c r="B336" s="112">
        <v>28</v>
      </c>
      <c r="C336" s="111">
        <v>45230</v>
      </c>
      <c r="D336" s="100">
        <v>2023</v>
      </c>
      <c r="E336" s="104">
        <f t="shared" si="24"/>
        <v>956.75000000000011</v>
      </c>
      <c r="F336" s="102">
        <f t="shared" si="22"/>
        <v>928.75000000000011</v>
      </c>
      <c r="G336" s="103">
        <f t="shared" si="21"/>
        <v>3915</v>
      </c>
      <c r="H336" s="103">
        <f t="shared" si="23"/>
        <v>261</v>
      </c>
    </row>
    <row r="337" spans="1:8" ht="21" x14ac:dyDescent="0.4">
      <c r="A337" s="111" t="s">
        <v>14</v>
      </c>
      <c r="B337" s="112">
        <v>62</v>
      </c>
      <c r="C337" s="111">
        <v>45231</v>
      </c>
      <c r="D337" s="100">
        <v>2023</v>
      </c>
      <c r="E337" s="104">
        <f t="shared" si="24"/>
        <v>943.75000000000011</v>
      </c>
      <c r="F337" s="102">
        <f t="shared" si="22"/>
        <v>881.75000000000011</v>
      </c>
      <c r="G337" s="103">
        <f t="shared" si="21"/>
        <v>3930</v>
      </c>
      <c r="H337" s="103">
        <f t="shared" si="23"/>
        <v>262</v>
      </c>
    </row>
    <row r="338" spans="1:8" ht="21" x14ac:dyDescent="0.4">
      <c r="A338" s="111" t="s">
        <v>106</v>
      </c>
      <c r="B338" s="112">
        <v>4.5</v>
      </c>
      <c r="C338" s="111">
        <v>45231</v>
      </c>
      <c r="D338" s="100">
        <v>2023</v>
      </c>
      <c r="E338" s="104">
        <f t="shared" si="24"/>
        <v>881.75000000000011</v>
      </c>
      <c r="F338" s="102">
        <f t="shared" si="22"/>
        <v>877.25000000000011</v>
      </c>
      <c r="G338" s="103">
        <f>IF(C338&lt;&gt;C337, 15+G337,G337)</f>
        <v>3930</v>
      </c>
      <c r="H338" s="103">
        <f t="shared" si="23"/>
        <v>262</v>
      </c>
    </row>
    <row r="339" spans="1:8" ht="21" x14ac:dyDescent="0.4">
      <c r="A339" s="111" t="s">
        <v>120</v>
      </c>
      <c r="B339" s="112">
        <v>0</v>
      </c>
      <c r="C339" s="111">
        <v>45232</v>
      </c>
      <c r="D339" s="100">
        <v>2023</v>
      </c>
      <c r="E339" s="104">
        <f t="shared" si="24"/>
        <v>892.25000000000011</v>
      </c>
      <c r="F339" s="102">
        <f t="shared" si="22"/>
        <v>892.25000000000011</v>
      </c>
      <c r="G339" s="103">
        <f t="shared" ref="G339:G402" si="25">IF(C339&lt;&gt;C338, 15+G338,G338)</f>
        <v>3945</v>
      </c>
      <c r="H339" s="103">
        <f t="shared" si="23"/>
        <v>263</v>
      </c>
    </row>
    <row r="340" spans="1:8" ht="21" x14ac:dyDescent="0.4">
      <c r="A340" s="111" t="s">
        <v>106</v>
      </c>
      <c r="B340" s="112">
        <v>15</v>
      </c>
      <c r="C340" s="111">
        <v>45233</v>
      </c>
      <c r="D340" s="100">
        <v>2023</v>
      </c>
      <c r="E340" s="104">
        <f t="shared" si="24"/>
        <v>907.25000000000011</v>
      </c>
      <c r="F340" s="102">
        <f t="shared" si="22"/>
        <v>892.25000000000011</v>
      </c>
      <c r="G340" s="103">
        <f t="shared" si="25"/>
        <v>3960</v>
      </c>
      <c r="H340" s="103">
        <f t="shared" si="23"/>
        <v>264</v>
      </c>
    </row>
    <row r="341" spans="1:8" ht="21" x14ac:dyDescent="0.4">
      <c r="A341" s="111" t="s">
        <v>120</v>
      </c>
      <c r="B341" s="112">
        <v>0</v>
      </c>
      <c r="C341" s="111">
        <v>45234</v>
      </c>
      <c r="D341" s="100">
        <v>2023</v>
      </c>
      <c r="E341" s="104">
        <f t="shared" si="24"/>
        <v>907.25000000000011</v>
      </c>
      <c r="F341" s="102">
        <f t="shared" si="22"/>
        <v>907.25000000000011</v>
      </c>
      <c r="G341" s="103">
        <f t="shared" si="25"/>
        <v>3975</v>
      </c>
      <c r="H341" s="103">
        <f t="shared" si="23"/>
        <v>265</v>
      </c>
    </row>
    <row r="342" spans="1:8" ht="21" x14ac:dyDescent="0.4">
      <c r="A342" s="111" t="s">
        <v>106</v>
      </c>
      <c r="B342" s="112">
        <v>2.2000000000000002</v>
      </c>
      <c r="C342" s="111">
        <v>45235</v>
      </c>
      <c r="D342" s="100">
        <v>2023</v>
      </c>
      <c r="E342" s="104">
        <f t="shared" si="24"/>
        <v>922.25000000000011</v>
      </c>
      <c r="F342" s="102">
        <f t="shared" si="22"/>
        <v>920.05000000000007</v>
      </c>
      <c r="G342" s="103">
        <f t="shared" si="25"/>
        <v>3990</v>
      </c>
      <c r="H342" s="103">
        <f t="shared" si="23"/>
        <v>266</v>
      </c>
    </row>
    <row r="343" spans="1:8" ht="21" x14ac:dyDescent="0.4">
      <c r="A343" s="111" t="s">
        <v>106</v>
      </c>
      <c r="B343" s="112">
        <v>30.8</v>
      </c>
      <c r="C343" s="111">
        <v>45236</v>
      </c>
      <c r="D343" s="100">
        <v>2023</v>
      </c>
      <c r="E343" s="104">
        <f t="shared" si="24"/>
        <v>935.05000000000007</v>
      </c>
      <c r="F343" s="102">
        <f t="shared" si="22"/>
        <v>904.25000000000011</v>
      </c>
      <c r="G343" s="103">
        <f t="shared" si="25"/>
        <v>4005</v>
      </c>
      <c r="H343" s="103">
        <f t="shared" si="23"/>
        <v>267</v>
      </c>
    </row>
    <row r="344" spans="1:8" ht="21" x14ac:dyDescent="0.4">
      <c r="A344" s="111" t="s">
        <v>106</v>
      </c>
      <c r="B344" s="112">
        <v>15</v>
      </c>
      <c r="C344" s="111">
        <v>45237</v>
      </c>
      <c r="D344" s="100">
        <v>2023</v>
      </c>
      <c r="E344" s="104">
        <f t="shared" si="24"/>
        <v>919.25000000000011</v>
      </c>
      <c r="F344" s="102">
        <f t="shared" si="22"/>
        <v>904.25000000000011</v>
      </c>
      <c r="G344" s="103">
        <f t="shared" si="25"/>
        <v>4020</v>
      </c>
      <c r="H344" s="103">
        <f t="shared" si="23"/>
        <v>268</v>
      </c>
    </row>
    <row r="345" spans="1:8" ht="21" x14ac:dyDescent="0.4">
      <c r="A345" s="111" t="s">
        <v>106</v>
      </c>
      <c r="B345" s="112">
        <v>25.5</v>
      </c>
      <c r="C345" s="111">
        <v>45238</v>
      </c>
      <c r="D345" s="100">
        <v>2023</v>
      </c>
      <c r="E345" s="104">
        <f t="shared" si="24"/>
        <v>919.25000000000011</v>
      </c>
      <c r="F345" s="102">
        <f t="shared" si="22"/>
        <v>893.75000000000011</v>
      </c>
      <c r="G345" s="103">
        <f t="shared" si="25"/>
        <v>4035</v>
      </c>
      <c r="H345" s="103">
        <f t="shared" si="23"/>
        <v>269</v>
      </c>
    </row>
    <row r="346" spans="1:8" ht="21" x14ac:dyDescent="0.4">
      <c r="A346" s="111" t="s">
        <v>120</v>
      </c>
      <c r="B346" s="112">
        <v>0</v>
      </c>
      <c r="C346" s="111">
        <v>45239</v>
      </c>
      <c r="D346" s="100">
        <v>2023</v>
      </c>
      <c r="E346" s="104">
        <f t="shared" si="24"/>
        <v>908.75000000000011</v>
      </c>
      <c r="F346" s="102">
        <f t="shared" si="22"/>
        <v>908.75000000000011</v>
      </c>
      <c r="G346" s="103">
        <f t="shared" si="25"/>
        <v>4050</v>
      </c>
      <c r="H346" s="103">
        <f t="shared" si="23"/>
        <v>270</v>
      </c>
    </row>
    <row r="347" spans="1:8" ht="21" x14ac:dyDescent="0.4">
      <c r="A347" s="111" t="s">
        <v>106</v>
      </c>
      <c r="B347" s="112">
        <v>35</v>
      </c>
      <c r="C347" s="111">
        <v>45240</v>
      </c>
      <c r="D347" s="100">
        <v>2023</v>
      </c>
      <c r="E347" s="104">
        <f t="shared" si="24"/>
        <v>923.75000000000011</v>
      </c>
      <c r="F347" s="102">
        <f t="shared" si="22"/>
        <v>888.75000000000011</v>
      </c>
      <c r="G347" s="103">
        <f t="shared" si="25"/>
        <v>4065</v>
      </c>
      <c r="H347" s="103">
        <f t="shared" si="23"/>
        <v>271</v>
      </c>
    </row>
    <row r="348" spans="1:8" ht="21" x14ac:dyDescent="0.4">
      <c r="A348" s="111" t="s">
        <v>120</v>
      </c>
      <c r="B348" s="112">
        <v>0</v>
      </c>
      <c r="C348" s="111">
        <v>45241</v>
      </c>
      <c r="D348" s="100">
        <v>2023</v>
      </c>
      <c r="E348" s="104">
        <f t="shared" si="24"/>
        <v>903.75000000000011</v>
      </c>
      <c r="F348" s="102">
        <f t="shared" si="22"/>
        <v>903.75000000000011</v>
      </c>
      <c r="G348" s="103">
        <f t="shared" si="25"/>
        <v>4080</v>
      </c>
      <c r="H348" s="103">
        <f t="shared" si="23"/>
        <v>272</v>
      </c>
    </row>
    <row r="349" spans="1:8" ht="21" x14ac:dyDescent="0.4">
      <c r="A349" s="111" t="s">
        <v>120</v>
      </c>
      <c r="B349" s="112">
        <v>0</v>
      </c>
      <c r="C349" s="111">
        <v>45242</v>
      </c>
      <c r="D349" s="100">
        <v>2023</v>
      </c>
      <c r="E349" s="104">
        <f t="shared" si="24"/>
        <v>918.75000000000011</v>
      </c>
      <c r="F349" s="102">
        <f t="shared" si="22"/>
        <v>918.75000000000011</v>
      </c>
      <c r="G349" s="103">
        <f t="shared" si="25"/>
        <v>4095</v>
      </c>
      <c r="H349" s="103">
        <f t="shared" si="23"/>
        <v>273</v>
      </c>
    </row>
    <row r="350" spans="1:8" ht="21" x14ac:dyDescent="0.4">
      <c r="A350" s="111" t="s">
        <v>120</v>
      </c>
      <c r="B350" s="112">
        <v>0</v>
      </c>
      <c r="C350" s="111">
        <v>45243</v>
      </c>
      <c r="D350" s="100">
        <v>2023</v>
      </c>
      <c r="E350" s="104">
        <f t="shared" si="24"/>
        <v>933.75000000000011</v>
      </c>
      <c r="F350" s="102">
        <f t="shared" si="22"/>
        <v>933.75000000000011</v>
      </c>
      <c r="G350" s="103">
        <f t="shared" si="25"/>
        <v>4110</v>
      </c>
      <c r="H350" s="103">
        <f t="shared" si="23"/>
        <v>274</v>
      </c>
    </row>
    <row r="351" spans="1:8" ht="21" x14ac:dyDescent="0.4">
      <c r="A351" s="111" t="s">
        <v>120</v>
      </c>
      <c r="B351" s="112">
        <v>0</v>
      </c>
      <c r="C351" s="111">
        <v>45244</v>
      </c>
      <c r="D351" s="100">
        <v>2023</v>
      </c>
      <c r="E351" s="104">
        <f t="shared" si="24"/>
        <v>948.75000000000011</v>
      </c>
      <c r="F351" s="102">
        <f t="shared" si="22"/>
        <v>948.75000000000011</v>
      </c>
      <c r="G351" s="103">
        <f t="shared" si="25"/>
        <v>4125</v>
      </c>
      <c r="H351" s="103">
        <f t="shared" si="23"/>
        <v>275</v>
      </c>
    </row>
    <row r="352" spans="1:8" ht="21" x14ac:dyDescent="0.4">
      <c r="A352" s="111" t="s">
        <v>120</v>
      </c>
      <c r="B352" s="112">
        <v>0</v>
      </c>
      <c r="C352" s="111">
        <v>45245</v>
      </c>
      <c r="D352" s="100">
        <v>2023</v>
      </c>
      <c r="E352" s="104">
        <f t="shared" si="24"/>
        <v>963.75000000000011</v>
      </c>
      <c r="F352" s="102">
        <f t="shared" si="22"/>
        <v>963.75000000000011</v>
      </c>
      <c r="G352" s="103">
        <f t="shared" si="25"/>
        <v>4140</v>
      </c>
      <c r="H352" s="103">
        <f t="shared" si="23"/>
        <v>276</v>
      </c>
    </row>
    <row r="353" spans="1:8" ht="21" x14ac:dyDescent="0.4">
      <c r="A353" s="111" t="s">
        <v>120</v>
      </c>
      <c r="B353" s="112">
        <v>0</v>
      </c>
      <c r="C353" s="111">
        <v>45246</v>
      </c>
      <c r="D353" s="100">
        <v>2023</v>
      </c>
      <c r="E353" s="104">
        <f t="shared" si="24"/>
        <v>978.75000000000011</v>
      </c>
      <c r="F353" s="102">
        <f t="shared" si="22"/>
        <v>978.75000000000011</v>
      </c>
      <c r="G353" s="103">
        <f t="shared" si="25"/>
        <v>4155</v>
      </c>
      <c r="H353" s="103">
        <f t="shared" si="23"/>
        <v>277</v>
      </c>
    </row>
    <row r="354" spans="1:8" ht="21" x14ac:dyDescent="0.4">
      <c r="A354" s="111" t="s">
        <v>120</v>
      </c>
      <c r="B354" s="112">
        <v>0</v>
      </c>
      <c r="C354" s="111">
        <v>45247</v>
      </c>
      <c r="D354" s="100">
        <v>2023</v>
      </c>
      <c r="E354" s="104">
        <f t="shared" si="24"/>
        <v>993.75000000000011</v>
      </c>
      <c r="F354" s="102">
        <f t="shared" si="22"/>
        <v>993.75000000000011</v>
      </c>
      <c r="G354" s="103">
        <f t="shared" si="25"/>
        <v>4170</v>
      </c>
      <c r="H354" s="103">
        <f t="shared" si="23"/>
        <v>278</v>
      </c>
    </row>
    <row r="355" spans="1:8" ht="21" x14ac:dyDescent="0.4">
      <c r="A355" s="111" t="s">
        <v>120</v>
      </c>
      <c r="B355" s="112">
        <v>0</v>
      </c>
      <c r="C355" s="111">
        <v>45248</v>
      </c>
      <c r="D355" s="100">
        <v>2023</v>
      </c>
      <c r="E355" s="104">
        <f t="shared" si="24"/>
        <v>1008.7500000000001</v>
      </c>
      <c r="F355" s="102">
        <f t="shared" si="22"/>
        <v>1008.7500000000001</v>
      </c>
      <c r="G355" s="103">
        <f t="shared" si="25"/>
        <v>4185</v>
      </c>
      <c r="H355" s="103">
        <f t="shared" si="23"/>
        <v>279</v>
      </c>
    </row>
    <row r="356" spans="1:8" ht="21" x14ac:dyDescent="0.4">
      <c r="A356" s="111" t="s">
        <v>120</v>
      </c>
      <c r="B356" s="112">
        <v>0</v>
      </c>
      <c r="C356" s="111">
        <v>45249</v>
      </c>
      <c r="D356" s="100">
        <v>2023</v>
      </c>
      <c r="E356" s="104">
        <f t="shared" si="24"/>
        <v>1023.7500000000001</v>
      </c>
      <c r="F356" s="102">
        <f t="shared" si="22"/>
        <v>1023.7500000000001</v>
      </c>
      <c r="G356" s="103">
        <f t="shared" si="25"/>
        <v>4200</v>
      </c>
      <c r="H356" s="103">
        <f t="shared" si="23"/>
        <v>280</v>
      </c>
    </row>
    <row r="357" spans="1:8" ht="21" x14ac:dyDescent="0.4">
      <c r="A357" s="111" t="s">
        <v>120</v>
      </c>
      <c r="B357" s="112">
        <v>0</v>
      </c>
      <c r="C357" s="111">
        <v>45250</v>
      </c>
      <c r="D357" s="100">
        <v>2023</v>
      </c>
      <c r="E357" s="104">
        <f t="shared" si="24"/>
        <v>1038.75</v>
      </c>
      <c r="F357" s="102">
        <f t="shared" si="22"/>
        <v>1038.75</v>
      </c>
      <c r="G357" s="103">
        <f t="shared" si="25"/>
        <v>4215</v>
      </c>
      <c r="H357" s="103">
        <f t="shared" si="23"/>
        <v>281</v>
      </c>
    </row>
    <row r="358" spans="1:8" ht="21" x14ac:dyDescent="0.4">
      <c r="A358" s="111" t="s">
        <v>120</v>
      </c>
      <c r="B358" s="112">
        <v>0</v>
      </c>
      <c r="C358" s="111">
        <v>45251</v>
      </c>
      <c r="D358" s="100">
        <v>2023</v>
      </c>
      <c r="E358" s="104">
        <f t="shared" si="24"/>
        <v>1053.75</v>
      </c>
      <c r="F358" s="102">
        <f t="shared" si="22"/>
        <v>1053.75</v>
      </c>
      <c r="G358" s="103">
        <f t="shared" si="25"/>
        <v>4230</v>
      </c>
      <c r="H358" s="103">
        <f t="shared" si="23"/>
        <v>282</v>
      </c>
    </row>
    <row r="359" spans="1:8" ht="21" x14ac:dyDescent="0.4">
      <c r="A359" s="111" t="s">
        <v>120</v>
      </c>
      <c r="B359" s="112">
        <v>0</v>
      </c>
      <c r="C359" s="111">
        <v>45252</v>
      </c>
      <c r="D359" s="100">
        <v>2023</v>
      </c>
      <c r="E359" s="104">
        <f t="shared" si="24"/>
        <v>1068.75</v>
      </c>
      <c r="F359" s="102">
        <f t="shared" si="22"/>
        <v>1068.75</v>
      </c>
      <c r="G359" s="103">
        <f t="shared" si="25"/>
        <v>4245</v>
      </c>
      <c r="H359" s="103">
        <f t="shared" si="23"/>
        <v>283</v>
      </c>
    </row>
    <row r="360" spans="1:8" ht="21" x14ac:dyDescent="0.4">
      <c r="A360" s="111" t="s">
        <v>120</v>
      </c>
      <c r="B360" s="112">
        <v>0</v>
      </c>
      <c r="C360" s="111">
        <v>45253</v>
      </c>
      <c r="D360" s="100">
        <v>2023</v>
      </c>
      <c r="E360" s="104">
        <f t="shared" si="24"/>
        <v>1083.75</v>
      </c>
      <c r="F360" s="102">
        <f t="shared" si="22"/>
        <v>1083.75</v>
      </c>
      <c r="G360" s="103">
        <f t="shared" si="25"/>
        <v>4260</v>
      </c>
      <c r="H360" s="103">
        <f t="shared" si="23"/>
        <v>284</v>
      </c>
    </row>
    <row r="361" spans="1:8" ht="21" x14ac:dyDescent="0.4">
      <c r="A361" s="111" t="s">
        <v>120</v>
      </c>
      <c r="B361" s="112">
        <v>0</v>
      </c>
      <c r="C361" s="111">
        <v>45254</v>
      </c>
      <c r="D361" s="100">
        <v>2023</v>
      </c>
      <c r="E361" s="104">
        <f t="shared" si="24"/>
        <v>1098.75</v>
      </c>
      <c r="F361" s="102">
        <f t="shared" si="22"/>
        <v>1098.75</v>
      </c>
      <c r="G361" s="103">
        <f t="shared" si="25"/>
        <v>4275</v>
      </c>
      <c r="H361" s="103">
        <f t="shared" si="23"/>
        <v>285</v>
      </c>
    </row>
    <row r="362" spans="1:8" ht="21" x14ac:dyDescent="0.4">
      <c r="A362" s="111" t="s">
        <v>120</v>
      </c>
      <c r="B362" s="112">
        <v>0</v>
      </c>
      <c r="C362" s="111">
        <v>45255</v>
      </c>
      <c r="D362" s="100">
        <v>2023</v>
      </c>
      <c r="E362" s="104">
        <f t="shared" si="24"/>
        <v>1113.75</v>
      </c>
      <c r="F362" s="102">
        <f t="shared" si="22"/>
        <v>1113.75</v>
      </c>
      <c r="G362" s="103">
        <f t="shared" si="25"/>
        <v>4290</v>
      </c>
      <c r="H362" s="103">
        <f t="shared" si="23"/>
        <v>286</v>
      </c>
    </row>
    <row r="363" spans="1:8" ht="21" x14ac:dyDescent="0.4">
      <c r="A363" s="111" t="s">
        <v>120</v>
      </c>
      <c r="B363" s="112">
        <v>0</v>
      </c>
      <c r="C363" s="111">
        <v>45256</v>
      </c>
      <c r="D363" s="100">
        <v>2023</v>
      </c>
      <c r="E363" s="104">
        <f t="shared" si="24"/>
        <v>1128.75</v>
      </c>
      <c r="F363" s="102">
        <f t="shared" si="22"/>
        <v>1128.75</v>
      </c>
      <c r="G363" s="103">
        <f t="shared" si="25"/>
        <v>4305</v>
      </c>
      <c r="H363" s="103">
        <f t="shared" si="23"/>
        <v>287</v>
      </c>
    </row>
    <row r="364" spans="1:8" ht="21" x14ac:dyDescent="0.4">
      <c r="A364" s="111" t="s">
        <v>120</v>
      </c>
      <c r="B364" s="112">
        <v>0</v>
      </c>
      <c r="C364" s="111">
        <v>45257</v>
      </c>
      <c r="D364" s="100">
        <v>2023</v>
      </c>
      <c r="E364" s="104">
        <f t="shared" si="24"/>
        <v>1143.75</v>
      </c>
      <c r="F364" s="102">
        <f t="shared" si="22"/>
        <v>1143.75</v>
      </c>
      <c r="G364" s="103">
        <f t="shared" si="25"/>
        <v>4320</v>
      </c>
      <c r="H364" s="103">
        <f t="shared" si="23"/>
        <v>288</v>
      </c>
    </row>
    <row r="365" spans="1:8" ht="21" x14ac:dyDescent="0.4">
      <c r="A365" s="111" t="s">
        <v>120</v>
      </c>
      <c r="B365" s="112">
        <v>0</v>
      </c>
      <c r="C365" s="111">
        <v>45258</v>
      </c>
      <c r="D365" s="100">
        <v>2023</v>
      </c>
      <c r="E365" s="104">
        <f t="shared" si="24"/>
        <v>1158.75</v>
      </c>
      <c r="F365" s="102">
        <f t="shared" si="22"/>
        <v>1158.75</v>
      </c>
      <c r="G365" s="103">
        <f t="shared" si="25"/>
        <v>4335</v>
      </c>
      <c r="H365" s="103">
        <f t="shared" si="23"/>
        <v>289</v>
      </c>
    </row>
    <row r="366" spans="1:8" ht="21" x14ac:dyDescent="0.4">
      <c r="A366" s="111" t="s">
        <v>120</v>
      </c>
      <c r="B366" s="112">
        <v>0</v>
      </c>
      <c r="C366" s="111">
        <v>45259</v>
      </c>
      <c r="D366" s="100">
        <v>2023</v>
      </c>
      <c r="E366" s="104">
        <f t="shared" si="24"/>
        <v>1173.75</v>
      </c>
      <c r="F366" s="102">
        <f t="shared" si="22"/>
        <v>1173.75</v>
      </c>
      <c r="G366" s="103">
        <f t="shared" si="25"/>
        <v>4350</v>
      </c>
      <c r="H366" s="103">
        <f t="shared" si="23"/>
        <v>290</v>
      </c>
    </row>
    <row r="367" spans="1:8" ht="21" x14ac:dyDescent="0.4">
      <c r="A367" s="111" t="s">
        <v>120</v>
      </c>
      <c r="B367" s="112">
        <v>0</v>
      </c>
      <c r="C367" s="111">
        <v>45260</v>
      </c>
      <c r="D367" s="100">
        <v>2023</v>
      </c>
      <c r="E367" s="104">
        <f t="shared" si="24"/>
        <v>1188.75</v>
      </c>
      <c r="F367" s="102">
        <f t="shared" si="22"/>
        <v>1188.75</v>
      </c>
      <c r="G367" s="103">
        <f t="shared" si="25"/>
        <v>4365</v>
      </c>
      <c r="H367" s="103">
        <f t="shared" si="23"/>
        <v>291</v>
      </c>
    </row>
    <row r="368" spans="1:8" ht="21" x14ac:dyDescent="0.4">
      <c r="A368" s="111" t="s">
        <v>120</v>
      </c>
      <c r="B368" s="112">
        <v>0</v>
      </c>
      <c r="C368" s="111">
        <v>45261</v>
      </c>
      <c r="D368" s="100">
        <v>2023</v>
      </c>
      <c r="E368" s="104">
        <f t="shared" si="24"/>
        <v>1203.75</v>
      </c>
      <c r="F368" s="102">
        <f t="shared" si="22"/>
        <v>1203.75</v>
      </c>
      <c r="G368" s="103">
        <f t="shared" si="25"/>
        <v>4380</v>
      </c>
      <c r="H368" s="103">
        <f t="shared" si="23"/>
        <v>292</v>
      </c>
    </row>
    <row r="369" spans="1:8" ht="21" x14ac:dyDescent="0.4">
      <c r="A369" s="111" t="s">
        <v>120</v>
      </c>
      <c r="B369" s="112">
        <v>0</v>
      </c>
      <c r="C369" s="111">
        <v>45262</v>
      </c>
      <c r="D369" s="100">
        <v>2023</v>
      </c>
      <c r="E369" s="104">
        <f t="shared" si="24"/>
        <v>1218.75</v>
      </c>
      <c r="F369" s="102">
        <f t="shared" si="22"/>
        <v>1218.75</v>
      </c>
      <c r="G369" s="103">
        <f t="shared" si="25"/>
        <v>4395</v>
      </c>
      <c r="H369" s="103">
        <f t="shared" si="23"/>
        <v>293</v>
      </c>
    </row>
    <row r="370" spans="1:8" ht="21" x14ac:dyDescent="0.4">
      <c r="A370" s="111" t="s">
        <v>120</v>
      </c>
      <c r="B370" s="112">
        <v>0</v>
      </c>
      <c r="C370" s="111">
        <v>45263</v>
      </c>
      <c r="D370" s="100">
        <v>2023</v>
      </c>
      <c r="E370" s="104">
        <f t="shared" si="24"/>
        <v>1233.75</v>
      </c>
      <c r="F370" s="102">
        <f t="shared" si="22"/>
        <v>1233.75</v>
      </c>
      <c r="G370" s="103">
        <f t="shared" si="25"/>
        <v>4410</v>
      </c>
      <c r="H370" s="103">
        <f t="shared" si="23"/>
        <v>294</v>
      </c>
    </row>
    <row r="371" spans="1:8" ht="21" x14ac:dyDescent="0.4">
      <c r="A371" s="111" t="s">
        <v>106</v>
      </c>
      <c r="B371" s="112">
        <v>23</v>
      </c>
      <c r="C371" s="111">
        <v>45264</v>
      </c>
      <c r="D371" s="100">
        <v>2023</v>
      </c>
      <c r="E371" s="104">
        <f t="shared" si="24"/>
        <v>1248.75</v>
      </c>
      <c r="F371" s="102">
        <f t="shared" si="22"/>
        <v>1225.75</v>
      </c>
      <c r="G371" s="103">
        <f t="shared" si="25"/>
        <v>4425</v>
      </c>
      <c r="H371" s="103">
        <f t="shared" si="23"/>
        <v>295</v>
      </c>
    </row>
    <row r="372" spans="1:8" ht="21" x14ac:dyDescent="0.4">
      <c r="A372" s="111" t="s">
        <v>106</v>
      </c>
      <c r="B372" s="112">
        <v>28</v>
      </c>
      <c r="C372" s="111">
        <v>45265</v>
      </c>
      <c r="D372" s="100">
        <v>2023</v>
      </c>
      <c r="E372" s="104">
        <f t="shared" si="24"/>
        <v>1240.75</v>
      </c>
      <c r="F372" s="102">
        <f t="shared" si="22"/>
        <v>1212.75</v>
      </c>
      <c r="G372" s="103">
        <f t="shared" si="25"/>
        <v>4440</v>
      </c>
      <c r="H372" s="103">
        <f t="shared" si="23"/>
        <v>296</v>
      </c>
    </row>
    <row r="373" spans="1:8" ht="21" x14ac:dyDescent="0.4">
      <c r="A373" s="111" t="s">
        <v>106</v>
      </c>
      <c r="B373" s="112">
        <v>4.45</v>
      </c>
      <c r="C373" s="111">
        <v>45266</v>
      </c>
      <c r="D373" s="100">
        <v>2023</v>
      </c>
      <c r="E373" s="104">
        <f t="shared" si="24"/>
        <v>1227.75</v>
      </c>
      <c r="F373" s="102">
        <f t="shared" si="22"/>
        <v>1223.3</v>
      </c>
      <c r="G373" s="103">
        <f t="shared" si="25"/>
        <v>4455</v>
      </c>
      <c r="H373" s="103">
        <f t="shared" si="23"/>
        <v>297</v>
      </c>
    </row>
    <row r="374" spans="1:8" ht="21" x14ac:dyDescent="0.4">
      <c r="A374" s="111" t="s">
        <v>106</v>
      </c>
      <c r="B374" s="112">
        <v>5.63</v>
      </c>
      <c r="C374" s="111">
        <v>45267</v>
      </c>
      <c r="D374" s="100">
        <v>2023</v>
      </c>
      <c r="E374" s="104">
        <f t="shared" si="24"/>
        <v>1238.3</v>
      </c>
      <c r="F374" s="102">
        <f t="shared" si="22"/>
        <v>1232.6699999999998</v>
      </c>
      <c r="G374" s="103">
        <f t="shared" si="25"/>
        <v>4470</v>
      </c>
      <c r="H374" s="103">
        <f t="shared" si="23"/>
        <v>298</v>
      </c>
    </row>
    <row r="375" spans="1:8" ht="21" x14ac:dyDescent="0.4">
      <c r="A375" s="111" t="s">
        <v>106</v>
      </c>
      <c r="B375" s="112">
        <v>0</v>
      </c>
      <c r="C375" s="111">
        <v>45268</v>
      </c>
      <c r="D375" s="100">
        <v>2023</v>
      </c>
      <c r="E375" s="104">
        <f t="shared" si="24"/>
        <v>1247.6699999999998</v>
      </c>
      <c r="F375" s="102">
        <f t="shared" si="22"/>
        <v>1247.6699999999998</v>
      </c>
      <c r="G375" s="103">
        <f t="shared" si="25"/>
        <v>4485</v>
      </c>
      <c r="H375" s="103">
        <f t="shared" si="23"/>
        <v>299</v>
      </c>
    </row>
    <row r="376" spans="1:8" ht="21" x14ac:dyDescent="0.4">
      <c r="A376" s="111" t="s">
        <v>106</v>
      </c>
      <c r="B376" s="112">
        <v>12</v>
      </c>
      <c r="C376" s="111">
        <v>45269</v>
      </c>
      <c r="D376" s="100">
        <v>2023</v>
      </c>
      <c r="E376" s="104">
        <f t="shared" si="24"/>
        <v>1262.6699999999998</v>
      </c>
      <c r="F376" s="102">
        <f t="shared" si="22"/>
        <v>1250.6699999999998</v>
      </c>
      <c r="G376" s="103">
        <f t="shared" si="25"/>
        <v>4500</v>
      </c>
      <c r="H376" s="103">
        <f t="shared" si="23"/>
        <v>300</v>
      </c>
    </row>
    <row r="377" spans="1:8" ht="21" x14ac:dyDescent="0.4">
      <c r="A377" s="111" t="s">
        <v>106</v>
      </c>
      <c r="B377" s="112">
        <v>8</v>
      </c>
      <c r="C377" s="111">
        <v>45270</v>
      </c>
      <c r="D377" s="100">
        <v>2023</v>
      </c>
      <c r="E377" s="104">
        <f t="shared" si="24"/>
        <v>1265.6699999999998</v>
      </c>
      <c r="F377" s="102">
        <f t="shared" si="22"/>
        <v>1257.6699999999998</v>
      </c>
      <c r="G377" s="103">
        <f t="shared" si="25"/>
        <v>4515</v>
      </c>
      <c r="H377" s="103">
        <f t="shared" si="23"/>
        <v>301</v>
      </c>
    </row>
    <row r="378" spans="1:8" ht="21" x14ac:dyDescent="0.4">
      <c r="A378" s="111" t="s">
        <v>106</v>
      </c>
      <c r="B378" s="112">
        <v>20</v>
      </c>
      <c r="C378" s="111">
        <v>45271</v>
      </c>
      <c r="D378" s="100">
        <v>2023</v>
      </c>
      <c r="E378" s="104">
        <f t="shared" si="24"/>
        <v>1272.6699999999998</v>
      </c>
      <c r="F378" s="102">
        <f t="shared" si="22"/>
        <v>1252.6699999999998</v>
      </c>
      <c r="G378" s="103">
        <f t="shared" si="25"/>
        <v>4530</v>
      </c>
      <c r="H378" s="103">
        <f t="shared" si="23"/>
        <v>302</v>
      </c>
    </row>
    <row r="379" spans="1:8" ht="21" x14ac:dyDescent="0.4">
      <c r="A379" s="111" t="s">
        <v>106</v>
      </c>
      <c r="B379" s="112">
        <v>6.5</v>
      </c>
      <c r="C379" s="111">
        <v>45272</v>
      </c>
      <c r="D379" s="100">
        <v>2023</v>
      </c>
      <c r="E379" s="104">
        <f t="shared" si="24"/>
        <v>1267.6699999999998</v>
      </c>
      <c r="F379" s="102">
        <f t="shared" si="22"/>
        <v>1261.1699999999998</v>
      </c>
      <c r="G379" s="103">
        <f t="shared" si="25"/>
        <v>4545</v>
      </c>
      <c r="H379" s="103">
        <f t="shared" si="23"/>
        <v>303</v>
      </c>
    </row>
    <row r="380" spans="1:8" ht="21" x14ac:dyDescent="0.4">
      <c r="A380" s="111" t="s">
        <v>14</v>
      </c>
      <c r="B380" s="112">
        <v>68.709999999999994</v>
      </c>
      <c r="C380" s="111">
        <v>45273</v>
      </c>
      <c r="D380" s="100">
        <v>2023</v>
      </c>
      <c r="E380" s="104">
        <f t="shared" si="24"/>
        <v>1276.1699999999998</v>
      </c>
      <c r="F380" s="102">
        <f t="shared" si="22"/>
        <v>1207.4599999999998</v>
      </c>
      <c r="G380" s="103">
        <f t="shared" si="25"/>
        <v>4560</v>
      </c>
      <c r="H380" s="103">
        <f t="shared" si="23"/>
        <v>304</v>
      </c>
    </row>
    <row r="381" spans="1:8" ht="21" x14ac:dyDescent="0.4">
      <c r="A381" s="111" t="s">
        <v>106</v>
      </c>
      <c r="B381" s="112">
        <v>23</v>
      </c>
      <c r="C381" s="111">
        <v>45274</v>
      </c>
      <c r="D381" s="100">
        <v>2023</v>
      </c>
      <c r="E381" s="104">
        <f t="shared" si="24"/>
        <v>1222.4599999999998</v>
      </c>
      <c r="F381" s="102">
        <f t="shared" si="22"/>
        <v>1199.4599999999998</v>
      </c>
      <c r="G381" s="103">
        <f t="shared" si="25"/>
        <v>4575</v>
      </c>
      <c r="H381" s="103">
        <f t="shared" si="23"/>
        <v>305</v>
      </c>
    </row>
    <row r="382" spans="1:8" ht="21" x14ac:dyDescent="0.4">
      <c r="A382" s="111" t="s">
        <v>120</v>
      </c>
      <c r="B382" s="112">
        <v>0</v>
      </c>
      <c r="C382" s="111">
        <v>45275</v>
      </c>
      <c r="D382" s="100">
        <v>2023</v>
      </c>
      <c r="E382" s="104">
        <f t="shared" si="24"/>
        <v>1214.4599999999998</v>
      </c>
      <c r="F382" s="102">
        <f t="shared" si="22"/>
        <v>1214.4599999999998</v>
      </c>
      <c r="G382" s="103">
        <f t="shared" si="25"/>
        <v>4590</v>
      </c>
      <c r="H382" s="103">
        <f t="shared" si="23"/>
        <v>306</v>
      </c>
    </row>
    <row r="383" spans="1:8" ht="21" x14ac:dyDescent="0.4">
      <c r="A383" s="111" t="s">
        <v>120</v>
      </c>
      <c r="B383" s="112">
        <v>0</v>
      </c>
      <c r="C383" s="111">
        <v>45276</v>
      </c>
      <c r="D383" s="100">
        <v>2023</v>
      </c>
      <c r="E383" s="104">
        <f t="shared" si="24"/>
        <v>1229.4599999999998</v>
      </c>
      <c r="F383" s="102">
        <f t="shared" si="22"/>
        <v>1229.4599999999998</v>
      </c>
      <c r="G383" s="103">
        <f t="shared" si="25"/>
        <v>4605</v>
      </c>
      <c r="H383" s="103">
        <f t="shared" si="23"/>
        <v>307</v>
      </c>
    </row>
    <row r="384" spans="1:8" ht="21" x14ac:dyDescent="0.4">
      <c r="A384" s="111" t="s">
        <v>120</v>
      </c>
      <c r="B384" s="112">
        <v>0</v>
      </c>
      <c r="C384" s="111">
        <v>45277</v>
      </c>
      <c r="D384" s="100">
        <v>2023</v>
      </c>
      <c r="E384" s="104">
        <f t="shared" si="24"/>
        <v>1244.4599999999998</v>
      </c>
      <c r="F384" s="102">
        <f t="shared" si="22"/>
        <v>1244.4599999999998</v>
      </c>
      <c r="G384" s="103">
        <f t="shared" si="25"/>
        <v>4620</v>
      </c>
      <c r="H384" s="103">
        <f t="shared" si="23"/>
        <v>308</v>
      </c>
    </row>
    <row r="385" spans="1:8" ht="21" x14ac:dyDescent="0.4">
      <c r="A385" s="111" t="s">
        <v>120</v>
      </c>
      <c r="B385" s="112">
        <v>0</v>
      </c>
      <c r="C385" s="111">
        <v>45278</v>
      </c>
      <c r="D385" s="100">
        <v>2023</v>
      </c>
      <c r="E385" s="104">
        <f t="shared" si="24"/>
        <v>1259.4599999999998</v>
      </c>
      <c r="F385" s="102">
        <f t="shared" si="22"/>
        <v>1259.4599999999998</v>
      </c>
      <c r="G385" s="103">
        <f t="shared" si="25"/>
        <v>4635</v>
      </c>
      <c r="H385" s="103">
        <f t="shared" si="23"/>
        <v>309</v>
      </c>
    </row>
    <row r="386" spans="1:8" ht="21" x14ac:dyDescent="0.4">
      <c r="A386" s="111" t="s">
        <v>120</v>
      </c>
      <c r="B386" s="112">
        <v>0</v>
      </c>
      <c r="C386" s="111">
        <v>45279</v>
      </c>
      <c r="D386" s="100">
        <v>2023</v>
      </c>
      <c r="E386" s="104">
        <f t="shared" si="24"/>
        <v>1274.4599999999998</v>
      </c>
      <c r="F386" s="102">
        <f t="shared" si="22"/>
        <v>1274.4599999999998</v>
      </c>
      <c r="G386" s="103">
        <f t="shared" si="25"/>
        <v>4650</v>
      </c>
      <c r="H386" s="103">
        <f t="shared" si="23"/>
        <v>310</v>
      </c>
    </row>
    <row r="387" spans="1:8" ht="21" x14ac:dyDescent="0.4">
      <c r="A387" s="111" t="s">
        <v>120</v>
      </c>
      <c r="B387" s="112">
        <v>0</v>
      </c>
      <c r="C387" s="111">
        <v>45280</v>
      </c>
      <c r="D387" s="100">
        <v>2023</v>
      </c>
      <c r="E387" s="104">
        <f t="shared" si="24"/>
        <v>1289.4599999999998</v>
      </c>
      <c r="F387" s="102">
        <f t="shared" ref="F387:F450" si="26">E387-B387</f>
        <v>1289.4599999999998</v>
      </c>
      <c r="G387" s="103">
        <f t="shared" si="25"/>
        <v>4665</v>
      </c>
      <c r="H387" s="103">
        <f t="shared" ref="H387:H429" si="27">G387/15</f>
        <v>311</v>
      </c>
    </row>
    <row r="388" spans="1:8" ht="21" x14ac:dyDescent="0.4">
      <c r="A388" s="111" t="s">
        <v>120</v>
      </c>
      <c r="B388" s="112">
        <v>0</v>
      </c>
      <c r="C388" s="111">
        <v>45281</v>
      </c>
      <c r="D388" s="100">
        <v>2023</v>
      </c>
      <c r="E388" s="104">
        <f t="shared" ref="E388:E451" si="28">IF(C388=C387,F387,F387+15)</f>
        <v>1304.4599999999998</v>
      </c>
      <c r="F388" s="102">
        <f t="shared" si="26"/>
        <v>1304.4599999999998</v>
      </c>
      <c r="G388" s="103">
        <f t="shared" si="25"/>
        <v>4680</v>
      </c>
      <c r="H388" s="103">
        <f t="shared" si="27"/>
        <v>312</v>
      </c>
    </row>
    <row r="389" spans="1:8" ht="21" x14ac:dyDescent="0.4">
      <c r="A389" s="111" t="s">
        <v>120</v>
      </c>
      <c r="B389" s="112">
        <v>0</v>
      </c>
      <c r="C389" s="111">
        <v>45282</v>
      </c>
      <c r="D389" s="100">
        <v>2023</v>
      </c>
      <c r="E389" s="104">
        <f t="shared" si="28"/>
        <v>1319.4599999999998</v>
      </c>
      <c r="F389" s="102">
        <f t="shared" si="26"/>
        <v>1319.4599999999998</v>
      </c>
      <c r="G389" s="103">
        <f t="shared" si="25"/>
        <v>4695</v>
      </c>
      <c r="H389" s="103">
        <f t="shared" si="27"/>
        <v>313</v>
      </c>
    </row>
    <row r="390" spans="1:8" ht="21" x14ac:dyDescent="0.4">
      <c r="A390" s="111" t="s">
        <v>120</v>
      </c>
      <c r="B390" s="112">
        <v>0</v>
      </c>
      <c r="C390" s="111">
        <v>45283</v>
      </c>
      <c r="D390" s="100">
        <v>2023</v>
      </c>
      <c r="E390" s="104">
        <f t="shared" si="28"/>
        <v>1334.4599999999998</v>
      </c>
      <c r="F390" s="102">
        <f t="shared" si="26"/>
        <v>1334.4599999999998</v>
      </c>
      <c r="G390" s="103">
        <f t="shared" si="25"/>
        <v>4710</v>
      </c>
      <c r="H390" s="103">
        <f t="shared" si="27"/>
        <v>314</v>
      </c>
    </row>
    <row r="391" spans="1:8" ht="21" x14ac:dyDescent="0.4">
      <c r="A391" s="111" t="s">
        <v>120</v>
      </c>
      <c r="B391" s="112">
        <v>0</v>
      </c>
      <c r="C391" s="111">
        <v>45284</v>
      </c>
      <c r="D391" s="100">
        <v>2023</v>
      </c>
      <c r="E391" s="104">
        <f t="shared" si="28"/>
        <v>1349.4599999999998</v>
      </c>
      <c r="F391" s="102">
        <f t="shared" si="26"/>
        <v>1349.4599999999998</v>
      </c>
      <c r="G391" s="103">
        <f t="shared" si="25"/>
        <v>4725</v>
      </c>
      <c r="H391" s="103">
        <f t="shared" si="27"/>
        <v>315</v>
      </c>
    </row>
    <row r="392" spans="1:8" ht="21" x14ac:dyDescent="0.4">
      <c r="A392" s="111" t="s">
        <v>120</v>
      </c>
      <c r="B392" s="112">
        <v>0</v>
      </c>
      <c r="C392" s="111">
        <v>45285</v>
      </c>
      <c r="D392" s="100">
        <v>2023</v>
      </c>
      <c r="E392" s="104">
        <f t="shared" si="28"/>
        <v>1364.4599999999998</v>
      </c>
      <c r="F392" s="102">
        <f t="shared" si="26"/>
        <v>1364.4599999999998</v>
      </c>
      <c r="G392" s="103">
        <f t="shared" si="25"/>
        <v>4740</v>
      </c>
      <c r="H392" s="103">
        <f t="shared" si="27"/>
        <v>316</v>
      </c>
    </row>
    <row r="393" spans="1:8" ht="21" x14ac:dyDescent="0.4">
      <c r="A393" s="111" t="s">
        <v>120</v>
      </c>
      <c r="B393" s="112">
        <v>0</v>
      </c>
      <c r="C393" s="111">
        <v>45286</v>
      </c>
      <c r="D393" s="100">
        <v>2023</v>
      </c>
      <c r="E393" s="104">
        <f t="shared" si="28"/>
        <v>1379.4599999999998</v>
      </c>
      <c r="F393" s="102">
        <f t="shared" si="26"/>
        <v>1379.4599999999998</v>
      </c>
      <c r="G393" s="103">
        <f t="shared" si="25"/>
        <v>4755</v>
      </c>
      <c r="H393" s="103">
        <f t="shared" si="27"/>
        <v>317</v>
      </c>
    </row>
    <row r="394" spans="1:8" ht="21" x14ac:dyDescent="0.4">
      <c r="A394" s="111" t="s">
        <v>120</v>
      </c>
      <c r="B394" s="112">
        <v>0</v>
      </c>
      <c r="C394" s="111">
        <v>45287</v>
      </c>
      <c r="D394" s="100">
        <v>2023</v>
      </c>
      <c r="E394" s="104">
        <f t="shared" si="28"/>
        <v>1394.4599999999998</v>
      </c>
      <c r="F394" s="102">
        <f t="shared" si="26"/>
        <v>1394.4599999999998</v>
      </c>
      <c r="G394" s="103">
        <f t="shared" si="25"/>
        <v>4770</v>
      </c>
      <c r="H394" s="103">
        <f t="shared" si="27"/>
        <v>318</v>
      </c>
    </row>
    <row r="395" spans="1:8" ht="21" x14ac:dyDescent="0.4">
      <c r="A395" s="111" t="s">
        <v>120</v>
      </c>
      <c r="B395" s="112">
        <v>0</v>
      </c>
      <c r="C395" s="111">
        <v>45288</v>
      </c>
      <c r="D395" s="100">
        <v>2023</v>
      </c>
      <c r="E395" s="104">
        <f t="shared" si="28"/>
        <v>1409.4599999999998</v>
      </c>
      <c r="F395" s="102">
        <f t="shared" si="26"/>
        <v>1409.4599999999998</v>
      </c>
      <c r="G395" s="103">
        <f t="shared" si="25"/>
        <v>4785</v>
      </c>
      <c r="H395" s="103">
        <f t="shared" si="27"/>
        <v>319</v>
      </c>
    </row>
    <row r="396" spans="1:8" ht="21" x14ac:dyDescent="0.4">
      <c r="A396" s="111" t="s">
        <v>120</v>
      </c>
      <c r="B396" s="112">
        <v>0</v>
      </c>
      <c r="C396" s="111">
        <v>45289</v>
      </c>
      <c r="D396" s="100">
        <v>2023</v>
      </c>
      <c r="E396" s="104">
        <f t="shared" si="28"/>
        <v>1424.4599999999998</v>
      </c>
      <c r="F396" s="102">
        <f t="shared" si="26"/>
        <v>1424.4599999999998</v>
      </c>
      <c r="G396" s="103">
        <f t="shared" si="25"/>
        <v>4800</v>
      </c>
      <c r="H396" s="103">
        <f t="shared" si="27"/>
        <v>320</v>
      </c>
    </row>
    <row r="397" spans="1:8" ht="21" x14ac:dyDescent="0.4">
      <c r="A397" s="111" t="s">
        <v>120</v>
      </c>
      <c r="B397" s="112">
        <v>0</v>
      </c>
      <c r="C397" s="111">
        <v>45290</v>
      </c>
      <c r="D397" s="100">
        <v>2023</v>
      </c>
      <c r="E397" s="104">
        <f t="shared" si="28"/>
        <v>1439.4599999999998</v>
      </c>
      <c r="F397" s="102">
        <f t="shared" si="26"/>
        <v>1439.4599999999998</v>
      </c>
      <c r="G397" s="103">
        <f t="shared" si="25"/>
        <v>4815</v>
      </c>
      <c r="H397" s="103">
        <f t="shared" si="27"/>
        <v>321</v>
      </c>
    </row>
    <row r="398" spans="1:8" ht="21" x14ac:dyDescent="0.4">
      <c r="A398" s="111" t="s">
        <v>106</v>
      </c>
      <c r="B398" s="112">
        <v>375</v>
      </c>
      <c r="C398" s="111">
        <v>45291</v>
      </c>
      <c r="D398" s="100">
        <v>2023</v>
      </c>
      <c r="E398" s="104">
        <f t="shared" si="28"/>
        <v>1454.4599999999998</v>
      </c>
      <c r="F398" s="102">
        <f t="shared" si="26"/>
        <v>1079.4599999999998</v>
      </c>
      <c r="G398" s="103">
        <f t="shared" si="25"/>
        <v>4830</v>
      </c>
      <c r="H398" s="103">
        <f t="shared" si="27"/>
        <v>322</v>
      </c>
    </row>
    <row r="399" spans="1:8" ht="21" x14ac:dyDescent="0.4">
      <c r="A399" s="111" t="s">
        <v>120</v>
      </c>
      <c r="B399" s="112">
        <v>0</v>
      </c>
      <c r="C399" s="111">
        <v>45292</v>
      </c>
      <c r="D399" s="112">
        <v>2024</v>
      </c>
      <c r="E399" s="104">
        <f t="shared" si="28"/>
        <v>1094.4599999999998</v>
      </c>
      <c r="F399" s="102">
        <f t="shared" si="26"/>
        <v>1094.4599999999998</v>
      </c>
      <c r="G399" s="103">
        <f t="shared" si="25"/>
        <v>4845</v>
      </c>
      <c r="H399" s="103">
        <f t="shared" si="27"/>
        <v>323</v>
      </c>
    </row>
    <row r="400" spans="1:8" ht="21" x14ac:dyDescent="0.4">
      <c r="A400" s="111" t="s">
        <v>120</v>
      </c>
      <c r="B400" s="112">
        <v>0</v>
      </c>
      <c r="C400" s="111">
        <v>45293</v>
      </c>
      <c r="D400" s="112">
        <v>2024</v>
      </c>
      <c r="E400" s="104">
        <f t="shared" si="28"/>
        <v>1109.4599999999998</v>
      </c>
      <c r="F400" s="102">
        <f t="shared" si="26"/>
        <v>1109.4599999999998</v>
      </c>
      <c r="G400" s="103">
        <f t="shared" si="25"/>
        <v>4860</v>
      </c>
      <c r="H400" s="103">
        <f t="shared" si="27"/>
        <v>324</v>
      </c>
    </row>
    <row r="401" spans="1:8" ht="21" x14ac:dyDescent="0.4">
      <c r="A401" s="111" t="s">
        <v>120</v>
      </c>
      <c r="B401" s="112">
        <v>0</v>
      </c>
      <c r="C401" s="111">
        <v>45294</v>
      </c>
      <c r="D401" s="112">
        <v>2024</v>
      </c>
      <c r="E401" s="104">
        <f t="shared" si="28"/>
        <v>1124.4599999999998</v>
      </c>
      <c r="F401" s="102">
        <f t="shared" si="26"/>
        <v>1124.4599999999998</v>
      </c>
      <c r="G401" s="103">
        <f t="shared" si="25"/>
        <v>4875</v>
      </c>
      <c r="H401" s="103">
        <f t="shared" si="27"/>
        <v>325</v>
      </c>
    </row>
    <row r="402" spans="1:8" ht="21" x14ac:dyDescent="0.4">
      <c r="A402" s="111" t="s">
        <v>120</v>
      </c>
      <c r="B402" s="112">
        <v>0</v>
      </c>
      <c r="C402" s="111">
        <v>45295</v>
      </c>
      <c r="D402" s="112">
        <v>2024</v>
      </c>
      <c r="E402" s="104">
        <f t="shared" si="28"/>
        <v>1139.4599999999998</v>
      </c>
      <c r="F402" s="102">
        <f t="shared" si="26"/>
        <v>1139.4599999999998</v>
      </c>
      <c r="G402" s="103">
        <f t="shared" si="25"/>
        <v>4890</v>
      </c>
      <c r="H402" s="103">
        <f t="shared" si="27"/>
        <v>326</v>
      </c>
    </row>
    <row r="403" spans="1:8" ht="21" x14ac:dyDescent="0.4">
      <c r="A403" s="111" t="s">
        <v>120</v>
      </c>
      <c r="B403" s="112">
        <v>0</v>
      </c>
      <c r="C403" s="111">
        <v>45296</v>
      </c>
      <c r="D403" s="112">
        <v>2024</v>
      </c>
      <c r="E403" s="104">
        <f t="shared" si="28"/>
        <v>1154.4599999999998</v>
      </c>
      <c r="F403" s="102">
        <f t="shared" si="26"/>
        <v>1154.4599999999998</v>
      </c>
      <c r="G403" s="103">
        <f t="shared" ref="G403:G466" si="29">IF(C403&lt;&gt;C402, 15+G402,G402)</f>
        <v>4905</v>
      </c>
      <c r="H403" s="103">
        <f t="shared" si="27"/>
        <v>327</v>
      </c>
    </row>
    <row r="404" spans="1:8" ht="21" x14ac:dyDescent="0.4">
      <c r="A404" s="111" t="s">
        <v>120</v>
      </c>
      <c r="B404" s="112">
        <v>0</v>
      </c>
      <c r="C404" s="111">
        <v>45297</v>
      </c>
      <c r="D404" s="112">
        <v>2024</v>
      </c>
      <c r="E404" s="104">
        <f t="shared" si="28"/>
        <v>1169.4599999999998</v>
      </c>
      <c r="F404" s="102">
        <f t="shared" si="26"/>
        <v>1169.4599999999998</v>
      </c>
      <c r="G404" s="103">
        <f t="shared" si="29"/>
        <v>4920</v>
      </c>
      <c r="H404" s="103">
        <f t="shared" si="27"/>
        <v>328</v>
      </c>
    </row>
    <row r="405" spans="1:8" ht="21" x14ac:dyDescent="0.4">
      <c r="A405" s="111" t="s">
        <v>120</v>
      </c>
      <c r="B405" s="112">
        <v>0</v>
      </c>
      <c r="C405" s="111">
        <v>45298</v>
      </c>
      <c r="D405" s="112">
        <v>2024</v>
      </c>
      <c r="E405" s="104">
        <f t="shared" si="28"/>
        <v>1184.4599999999998</v>
      </c>
      <c r="F405" s="102">
        <f t="shared" si="26"/>
        <v>1184.4599999999998</v>
      </c>
      <c r="G405" s="103">
        <f t="shared" si="29"/>
        <v>4935</v>
      </c>
      <c r="H405" s="103">
        <f t="shared" si="27"/>
        <v>329</v>
      </c>
    </row>
    <row r="406" spans="1:8" ht="21" x14ac:dyDescent="0.4">
      <c r="A406" s="111" t="s">
        <v>120</v>
      </c>
      <c r="B406" s="112">
        <v>0</v>
      </c>
      <c r="C406" s="111">
        <v>45299</v>
      </c>
      <c r="D406" s="112">
        <v>2024</v>
      </c>
      <c r="E406" s="104">
        <f t="shared" si="28"/>
        <v>1199.4599999999998</v>
      </c>
      <c r="F406" s="102">
        <f t="shared" si="26"/>
        <v>1199.4599999999998</v>
      </c>
      <c r="G406" s="103">
        <f t="shared" si="29"/>
        <v>4950</v>
      </c>
      <c r="H406" s="103">
        <f t="shared" si="27"/>
        <v>330</v>
      </c>
    </row>
    <row r="407" spans="1:8" ht="21" x14ac:dyDescent="0.4">
      <c r="A407" s="111" t="s">
        <v>120</v>
      </c>
      <c r="B407" s="112">
        <v>0</v>
      </c>
      <c r="C407" s="111">
        <v>45300</v>
      </c>
      <c r="D407" s="112">
        <v>2024</v>
      </c>
      <c r="E407" s="104">
        <f t="shared" si="28"/>
        <v>1214.4599999999998</v>
      </c>
      <c r="F407" s="102">
        <f t="shared" si="26"/>
        <v>1214.4599999999998</v>
      </c>
      <c r="G407" s="103">
        <f t="shared" si="29"/>
        <v>4965</v>
      </c>
      <c r="H407" s="103">
        <f t="shared" si="27"/>
        <v>331</v>
      </c>
    </row>
    <row r="408" spans="1:8" ht="21" x14ac:dyDescent="0.4">
      <c r="A408" s="111" t="s">
        <v>120</v>
      </c>
      <c r="B408" s="112">
        <v>0</v>
      </c>
      <c r="C408" s="111">
        <v>45301</v>
      </c>
      <c r="D408" s="112">
        <v>2024</v>
      </c>
      <c r="E408" s="104">
        <f t="shared" si="28"/>
        <v>1229.4599999999998</v>
      </c>
      <c r="F408" s="102">
        <f t="shared" si="26"/>
        <v>1229.4599999999998</v>
      </c>
      <c r="G408" s="103">
        <f t="shared" si="29"/>
        <v>4980</v>
      </c>
      <c r="H408" s="103">
        <f t="shared" si="27"/>
        <v>332</v>
      </c>
    </row>
    <row r="409" spans="1:8" ht="21" x14ac:dyDescent="0.4">
      <c r="A409" s="111" t="s">
        <v>120</v>
      </c>
      <c r="B409" s="112">
        <v>0</v>
      </c>
      <c r="C409" s="111">
        <v>45302</v>
      </c>
      <c r="D409" s="112">
        <v>2024</v>
      </c>
      <c r="E409" s="104">
        <f t="shared" si="28"/>
        <v>1244.4599999999998</v>
      </c>
      <c r="F409" s="102">
        <f t="shared" si="26"/>
        <v>1244.4599999999998</v>
      </c>
      <c r="G409" s="103">
        <f t="shared" si="29"/>
        <v>4995</v>
      </c>
      <c r="H409" s="103">
        <f t="shared" si="27"/>
        <v>333</v>
      </c>
    </row>
    <row r="410" spans="1:8" ht="21" x14ac:dyDescent="0.4">
      <c r="A410" s="111" t="s">
        <v>106</v>
      </c>
      <c r="B410" s="112">
        <v>35</v>
      </c>
      <c r="C410" s="111">
        <v>45303</v>
      </c>
      <c r="D410" s="112">
        <v>2024</v>
      </c>
      <c r="E410" s="104">
        <f t="shared" si="28"/>
        <v>1259.4599999999998</v>
      </c>
      <c r="F410" s="102">
        <f t="shared" si="26"/>
        <v>1224.4599999999998</v>
      </c>
      <c r="G410" s="103">
        <f t="shared" si="29"/>
        <v>5010</v>
      </c>
      <c r="H410" s="103">
        <f t="shared" si="27"/>
        <v>334</v>
      </c>
    </row>
    <row r="411" spans="1:8" ht="21" x14ac:dyDescent="0.4">
      <c r="A411" s="111" t="s">
        <v>120</v>
      </c>
      <c r="B411" s="112">
        <v>0</v>
      </c>
      <c r="C411" s="111">
        <v>45304</v>
      </c>
      <c r="D411" s="112">
        <v>2024</v>
      </c>
      <c r="E411" s="104">
        <f t="shared" si="28"/>
        <v>1239.4599999999998</v>
      </c>
      <c r="F411" s="102">
        <f t="shared" si="26"/>
        <v>1239.4599999999998</v>
      </c>
      <c r="G411" s="103">
        <f t="shared" si="29"/>
        <v>5025</v>
      </c>
      <c r="H411" s="103">
        <f t="shared" si="27"/>
        <v>335</v>
      </c>
    </row>
    <row r="412" spans="1:8" ht="21" x14ac:dyDescent="0.4">
      <c r="A412" s="111" t="s">
        <v>120</v>
      </c>
      <c r="B412" s="112">
        <v>0</v>
      </c>
      <c r="C412" s="111">
        <v>45305</v>
      </c>
      <c r="D412" s="112">
        <v>2024</v>
      </c>
      <c r="E412" s="104">
        <f t="shared" si="28"/>
        <v>1254.4599999999998</v>
      </c>
      <c r="F412" s="102">
        <f t="shared" si="26"/>
        <v>1254.4599999999998</v>
      </c>
      <c r="G412" s="103">
        <f t="shared" si="29"/>
        <v>5040</v>
      </c>
      <c r="H412" s="103">
        <f t="shared" si="27"/>
        <v>336</v>
      </c>
    </row>
    <row r="413" spans="1:8" ht="21" x14ac:dyDescent="0.4">
      <c r="A413" s="111" t="s">
        <v>106</v>
      </c>
      <c r="B413" s="112">
        <v>25</v>
      </c>
      <c r="C413" s="111">
        <v>45306</v>
      </c>
      <c r="D413" s="112">
        <v>2024</v>
      </c>
      <c r="E413" s="104">
        <f t="shared" si="28"/>
        <v>1269.4599999999998</v>
      </c>
      <c r="F413" s="102">
        <f t="shared" si="26"/>
        <v>1244.4599999999998</v>
      </c>
      <c r="G413" s="103">
        <f t="shared" si="29"/>
        <v>5055</v>
      </c>
      <c r="H413" s="103">
        <f t="shared" si="27"/>
        <v>337</v>
      </c>
    </row>
    <row r="414" spans="1:8" ht="21" x14ac:dyDescent="0.4">
      <c r="A414" s="111" t="s">
        <v>120</v>
      </c>
      <c r="B414" s="112">
        <v>0</v>
      </c>
      <c r="C414" s="111">
        <v>45307</v>
      </c>
      <c r="D414" s="112">
        <v>2024</v>
      </c>
      <c r="E414" s="104">
        <f t="shared" si="28"/>
        <v>1259.4599999999998</v>
      </c>
      <c r="F414" s="102">
        <f t="shared" si="26"/>
        <v>1259.4599999999998</v>
      </c>
      <c r="G414" s="103">
        <f t="shared" si="29"/>
        <v>5070</v>
      </c>
      <c r="H414" s="103">
        <f t="shared" si="27"/>
        <v>338</v>
      </c>
    </row>
    <row r="415" spans="1:8" ht="21" x14ac:dyDescent="0.4">
      <c r="A415" s="111" t="s">
        <v>120</v>
      </c>
      <c r="B415" s="112">
        <v>0</v>
      </c>
      <c r="C415" s="111">
        <v>45308</v>
      </c>
      <c r="D415" s="112">
        <v>2024</v>
      </c>
      <c r="E415" s="104">
        <f t="shared" si="28"/>
        <v>1274.4599999999998</v>
      </c>
      <c r="F415" s="102">
        <f t="shared" si="26"/>
        <v>1274.4599999999998</v>
      </c>
      <c r="G415" s="103">
        <f t="shared" si="29"/>
        <v>5085</v>
      </c>
      <c r="H415" s="103">
        <f t="shared" si="27"/>
        <v>339</v>
      </c>
    </row>
    <row r="416" spans="1:8" ht="21" x14ac:dyDescent="0.4">
      <c r="A416" s="111" t="s">
        <v>106</v>
      </c>
      <c r="B416" s="112">
        <v>16</v>
      </c>
      <c r="C416" s="111">
        <v>45309</v>
      </c>
      <c r="D416" s="112">
        <v>2024</v>
      </c>
      <c r="E416" s="104">
        <f t="shared" si="28"/>
        <v>1289.4599999999998</v>
      </c>
      <c r="F416" s="102">
        <f t="shared" si="26"/>
        <v>1273.4599999999998</v>
      </c>
      <c r="G416" s="103">
        <f t="shared" si="29"/>
        <v>5100</v>
      </c>
      <c r="H416" s="103">
        <f t="shared" si="27"/>
        <v>340</v>
      </c>
    </row>
    <row r="417" spans="1:8" ht="21" x14ac:dyDescent="0.4">
      <c r="A417" s="111" t="s">
        <v>120</v>
      </c>
      <c r="B417" s="112">
        <v>0</v>
      </c>
      <c r="C417" s="111">
        <v>45310</v>
      </c>
      <c r="D417" s="112">
        <v>2024</v>
      </c>
      <c r="E417" s="104">
        <f t="shared" si="28"/>
        <v>1288.4599999999998</v>
      </c>
      <c r="F417" s="102">
        <f t="shared" si="26"/>
        <v>1288.4599999999998</v>
      </c>
      <c r="G417" s="103">
        <f t="shared" si="29"/>
        <v>5115</v>
      </c>
      <c r="H417" s="103">
        <f t="shared" si="27"/>
        <v>341</v>
      </c>
    </row>
    <row r="418" spans="1:8" ht="21" x14ac:dyDescent="0.4">
      <c r="A418" s="111" t="s">
        <v>106</v>
      </c>
      <c r="B418" s="112">
        <v>14</v>
      </c>
      <c r="C418" s="111">
        <v>45311</v>
      </c>
      <c r="D418" s="112">
        <v>2024</v>
      </c>
      <c r="E418" s="104">
        <f t="shared" si="28"/>
        <v>1303.4599999999998</v>
      </c>
      <c r="F418" s="102">
        <f t="shared" si="26"/>
        <v>1289.4599999999998</v>
      </c>
      <c r="G418" s="103">
        <f t="shared" si="29"/>
        <v>5130</v>
      </c>
      <c r="H418" s="103">
        <f t="shared" si="27"/>
        <v>342</v>
      </c>
    </row>
    <row r="419" spans="1:8" ht="21" x14ac:dyDescent="0.4">
      <c r="A419" s="111" t="s">
        <v>120</v>
      </c>
      <c r="B419" s="112">
        <v>0</v>
      </c>
      <c r="C419" s="111">
        <v>45312</v>
      </c>
      <c r="D419" s="112">
        <v>2024</v>
      </c>
      <c r="E419" s="104">
        <f t="shared" si="28"/>
        <v>1304.4599999999998</v>
      </c>
      <c r="F419" s="102">
        <f t="shared" si="26"/>
        <v>1304.4599999999998</v>
      </c>
      <c r="G419" s="103">
        <f t="shared" si="29"/>
        <v>5145</v>
      </c>
      <c r="H419" s="103">
        <f t="shared" si="27"/>
        <v>343</v>
      </c>
    </row>
    <row r="420" spans="1:8" ht="21" x14ac:dyDescent="0.4">
      <c r="A420" s="111" t="s">
        <v>120</v>
      </c>
      <c r="B420" s="112">
        <v>0</v>
      </c>
      <c r="C420" s="111">
        <v>45313</v>
      </c>
      <c r="D420" s="112">
        <v>2024</v>
      </c>
      <c r="E420" s="104">
        <f t="shared" si="28"/>
        <v>1319.4599999999998</v>
      </c>
      <c r="F420" s="102">
        <f t="shared" si="26"/>
        <v>1319.4599999999998</v>
      </c>
      <c r="G420" s="103">
        <f t="shared" si="29"/>
        <v>5160</v>
      </c>
      <c r="H420" s="103">
        <f t="shared" si="27"/>
        <v>344</v>
      </c>
    </row>
    <row r="421" spans="1:8" ht="21" x14ac:dyDescent="0.4">
      <c r="A421" s="111" t="s">
        <v>106</v>
      </c>
      <c r="B421" s="112">
        <v>12</v>
      </c>
      <c r="C421" s="111">
        <v>45314</v>
      </c>
      <c r="D421" s="112">
        <v>2024</v>
      </c>
      <c r="E421" s="104">
        <f t="shared" si="28"/>
        <v>1334.4599999999998</v>
      </c>
      <c r="F421" s="102">
        <f t="shared" si="26"/>
        <v>1322.4599999999998</v>
      </c>
      <c r="G421" s="103">
        <f t="shared" si="29"/>
        <v>5175</v>
      </c>
      <c r="H421" s="103">
        <f t="shared" si="27"/>
        <v>345</v>
      </c>
    </row>
    <row r="422" spans="1:8" ht="21" x14ac:dyDescent="0.4">
      <c r="A422" s="111" t="s">
        <v>120</v>
      </c>
      <c r="B422" s="112">
        <v>0</v>
      </c>
      <c r="C422" s="111">
        <v>45315</v>
      </c>
      <c r="D422" s="112">
        <v>2024</v>
      </c>
      <c r="E422" s="104">
        <f t="shared" si="28"/>
        <v>1337.4599999999998</v>
      </c>
      <c r="F422" s="102">
        <f t="shared" si="26"/>
        <v>1337.4599999999998</v>
      </c>
      <c r="G422" s="103">
        <f t="shared" si="29"/>
        <v>5190</v>
      </c>
      <c r="H422" s="103">
        <f t="shared" si="27"/>
        <v>346</v>
      </c>
    </row>
    <row r="423" spans="1:8" ht="21" x14ac:dyDescent="0.4">
      <c r="A423" s="111" t="s">
        <v>120</v>
      </c>
      <c r="B423" s="112">
        <v>0</v>
      </c>
      <c r="C423" s="111">
        <v>45316</v>
      </c>
      <c r="D423" s="112">
        <v>2024</v>
      </c>
      <c r="E423" s="104">
        <f t="shared" si="28"/>
        <v>1352.4599999999998</v>
      </c>
      <c r="F423" s="102">
        <f t="shared" si="26"/>
        <v>1352.4599999999998</v>
      </c>
      <c r="G423" s="103">
        <f t="shared" si="29"/>
        <v>5205</v>
      </c>
      <c r="H423" s="103">
        <f t="shared" si="27"/>
        <v>347</v>
      </c>
    </row>
    <row r="424" spans="1:8" ht="21" x14ac:dyDescent="0.4">
      <c r="A424" s="111" t="s">
        <v>120</v>
      </c>
      <c r="B424" s="112">
        <v>0</v>
      </c>
      <c r="C424" s="111">
        <v>45317</v>
      </c>
      <c r="D424" s="112">
        <v>2024</v>
      </c>
      <c r="E424" s="104">
        <f t="shared" si="28"/>
        <v>1367.4599999999998</v>
      </c>
      <c r="F424" s="102">
        <f t="shared" si="26"/>
        <v>1367.4599999999998</v>
      </c>
      <c r="G424" s="103">
        <f t="shared" si="29"/>
        <v>5220</v>
      </c>
      <c r="H424" s="103">
        <f t="shared" si="27"/>
        <v>348</v>
      </c>
    </row>
    <row r="425" spans="1:8" ht="21" x14ac:dyDescent="0.4">
      <c r="A425" s="111" t="s">
        <v>120</v>
      </c>
      <c r="B425" s="112">
        <v>0</v>
      </c>
      <c r="C425" s="111">
        <v>45318</v>
      </c>
      <c r="D425" s="112">
        <v>2024</v>
      </c>
      <c r="E425" s="104">
        <f t="shared" si="28"/>
        <v>1382.4599999999998</v>
      </c>
      <c r="F425" s="102">
        <f t="shared" si="26"/>
        <v>1382.4599999999998</v>
      </c>
      <c r="G425" s="103">
        <f t="shared" si="29"/>
        <v>5235</v>
      </c>
      <c r="H425" s="103">
        <f t="shared" si="27"/>
        <v>349</v>
      </c>
    </row>
    <row r="426" spans="1:8" ht="21" x14ac:dyDescent="0.4">
      <c r="A426" s="111" t="s">
        <v>120</v>
      </c>
      <c r="B426" s="112">
        <v>0</v>
      </c>
      <c r="C426" s="111">
        <v>45319</v>
      </c>
      <c r="D426" s="112">
        <v>2024</v>
      </c>
      <c r="E426" s="104">
        <f t="shared" si="28"/>
        <v>1397.4599999999998</v>
      </c>
      <c r="F426" s="102">
        <f t="shared" si="26"/>
        <v>1397.4599999999998</v>
      </c>
      <c r="G426" s="103">
        <f t="shared" si="29"/>
        <v>5250</v>
      </c>
      <c r="H426" s="103">
        <f t="shared" si="27"/>
        <v>350</v>
      </c>
    </row>
    <row r="427" spans="1:8" ht="21" x14ac:dyDescent="0.4">
      <c r="A427" s="111" t="s">
        <v>120</v>
      </c>
      <c r="B427" s="112">
        <v>0</v>
      </c>
      <c r="C427" s="111">
        <v>45320</v>
      </c>
      <c r="D427" s="112">
        <v>2024</v>
      </c>
      <c r="E427" s="104">
        <f t="shared" si="28"/>
        <v>1412.4599999999998</v>
      </c>
      <c r="F427" s="102">
        <f t="shared" si="26"/>
        <v>1412.4599999999998</v>
      </c>
      <c r="G427" s="103">
        <f t="shared" si="29"/>
        <v>5265</v>
      </c>
      <c r="H427" s="103">
        <f t="shared" si="27"/>
        <v>351</v>
      </c>
    </row>
    <row r="428" spans="1:8" ht="21" x14ac:dyDescent="0.4">
      <c r="A428" s="111" t="s">
        <v>120</v>
      </c>
      <c r="B428" s="112">
        <v>0</v>
      </c>
      <c r="C428" s="111">
        <v>45321</v>
      </c>
      <c r="D428" s="112">
        <v>2024</v>
      </c>
      <c r="E428" s="104">
        <f t="shared" si="28"/>
        <v>1427.4599999999998</v>
      </c>
      <c r="F428" s="102">
        <f t="shared" si="26"/>
        <v>1427.4599999999998</v>
      </c>
      <c r="G428" s="103">
        <f t="shared" si="29"/>
        <v>5280</v>
      </c>
      <c r="H428" s="103">
        <f t="shared" si="27"/>
        <v>352</v>
      </c>
    </row>
    <row r="429" spans="1:8" ht="21" x14ac:dyDescent="0.4">
      <c r="A429" s="111" t="s">
        <v>106</v>
      </c>
      <c r="B429" s="112">
        <v>648</v>
      </c>
      <c r="C429" s="111">
        <v>45322</v>
      </c>
      <c r="D429" s="112">
        <v>2024</v>
      </c>
      <c r="E429" s="104">
        <f t="shared" si="28"/>
        <v>1442.4599999999998</v>
      </c>
      <c r="F429" s="102">
        <f t="shared" si="26"/>
        <v>794.45999999999981</v>
      </c>
      <c r="G429" s="103">
        <f t="shared" si="29"/>
        <v>5295</v>
      </c>
      <c r="H429" s="103">
        <f t="shared" si="27"/>
        <v>353</v>
      </c>
    </row>
    <row r="430" spans="1:8" ht="21" x14ac:dyDescent="0.4">
      <c r="A430" s="111" t="s">
        <v>106</v>
      </c>
      <c r="B430" s="112">
        <v>31</v>
      </c>
      <c r="C430" s="111">
        <v>45323</v>
      </c>
      <c r="D430" s="112">
        <v>2024</v>
      </c>
      <c r="E430" s="104">
        <f t="shared" si="28"/>
        <v>809.45999999999981</v>
      </c>
      <c r="F430" s="102">
        <f t="shared" si="26"/>
        <v>778.45999999999981</v>
      </c>
      <c r="G430" s="103">
        <f t="shared" si="29"/>
        <v>5310</v>
      </c>
      <c r="H430" s="103">
        <f>G430/15</f>
        <v>354</v>
      </c>
    </row>
    <row r="431" spans="1:8" ht="21" x14ac:dyDescent="0.4">
      <c r="A431" s="111" t="s">
        <v>106</v>
      </c>
      <c r="B431" s="112">
        <v>48.5</v>
      </c>
      <c r="C431" s="111">
        <v>45324</v>
      </c>
      <c r="D431" s="112">
        <v>2024</v>
      </c>
      <c r="E431" s="104">
        <f t="shared" si="28"/>
        <v>793.45999999999981</v>
      </c>
      <c r="F431" s="102">
        <f t="shared" si="26"/>
        <v>744.95999999999981</v>
      </c>
      <c r="G431" s="103">
        <f t="shared" si="29"/>
        <v>5325</v>
      </c>
      <c r="H431" s="103">
        <f>G431/15</f>
        <v>355</v>
      </c>
    </row>
    <row r="432" spans="1:8" ht="21" x14ac:dyDescent="0.4">
      <c r="A432" s="111" t="s">
        <v>120</v>
      </c>
      <c r="B432" s="112">
        <v>0</v>
      </c>
      <c r="C432" s="111">
        <v>45325</v>
      </c>
      <c r="D432" s="112">
        <v>2024</v>
      </c>
      <c r="E432" s="104">
        <f t="shared" si="28"/>
        <v>759.95999999999981</v>
      </c>
      <c r="F432" s="102">
        <f t="shared" si="26"/>
        <v>759.95999999999981</v>
      </c>
      <c r="G432" s="103">
        <f t="shared" si="29"/>
        <v>5340</v>
      </c>
      <c r="H432" s="103">
        <f>G432/15</f>
        <v>356</v>
      </c>
    </row>
    <row r="433" spans="1:8" ht="21" x14ac:dyDescent="0.4">
      <c r="A433" s="111" t="s">
        <v>106</v>
      </c>
      <c r="B433" s="112">
        <v>40</v>
      </c>
      <c r="C433" s="111">
        <v>45326</v>
      </c>
      <c r="D433" s="112">
        <v>2024</v>
      </c>
      <c r="E433" s="104">
        <f t="shared" si="28"/>
        <v>774.95999999999981</v>
      </c>
      <c r="F433" s="102">
        <f t="shared" si="26"/>
        <v>734.95999999999981</v>
      </c>
      <c r="G433" s="103">
        <f t="shared" si="29"/>
        <v>5355</v>
      </c>
      <c r="H433" s="103">
        <f t="shared" ref="H433:H496" si="30">G433/15</f>
        <v>357</v>
      </c>
    </row>
    <row r="434" spans="1:8" ht="21" x14ac:dyDescent="0.4">
      <c r="A434" s="111" t="s">
        <v>106</v>
      </c>
      <c r="B434" s="112">
        <v>4.45</v>
      </c>
      <c r="C434" s="111">
        <v>45327</v>
      </c>
      <c r="D434" s="112">
        <v>2024</v>
      </c>
      <c r="E434" s="104">
        <f t="shared" si="28"/>
        <v>749.95999999999981</v>
      </c>
      <c r="F434" s="102">
        <f t="shared" si="26"/>
        <v>745.50999999999976</v>
      </c>
      <c r="G434" s="103">
        <f t="shared" si="29"/>
        <v>5370</v>
      </c>
      <c r="H434" s="103">
        <f t="shared" si="30"/>
        <v>358</v>
      </c>
    </row>
    <row r="435" spans="1:8" ht="21" x14ac:dyDescent="0.4">
      <c r="A435" s="111" t="s">
        <v>120</v>
      </c>
      <c r="B435" s="112">
        <v>0</v>
      </c>
      <c r="C435" s="111">
        <v>45328</v>
      </c>
      <c r="D435" s="112">
        <v>2024</v>
      </c>
      <c r="E435" s="104">
        <f t="shared" si="28"/>
        <v>760.50999999999976</v>
      </c>
      <c r="F435" s="102">
        <f t="shared" si="26"/>
        <v>760.50999999999976</v>
      </c>
      <c r="G435" s="103">
        <f t="shared" si="29"/>
        <v>5385</v>
      </c>
      <c r="H435" s="103">
        <f t="shared" si="30"/>
        <v>359</v>
      </c>
    </row>
    <row r="436" spans="1:8" ht="21" x14ac:dyDescent="0.4">
      <c r="A436" s="111" t="s">
        <v>106</v>
      </c>
      <c r="B436" s="112">
        <v>9.5</v>
      </c>
      <c r="C436" s="111">
        <v>45329</v>
      </c>
      <c r="D436" s="112">
        <v>2024</v>
      </c>
      <c r="E436" s="104">
        <f t="shared" si="28"/>
        <v>775.50999999999976</v>
      </c>
      <c r="F436" s="102">
        <f t="shared" si="26"/>
        <v>766.00999999999976</v>
      </c>
      <c r="G436" s="103">
        <f t="shared" si="29"/>
        <v>5400</v>
      </c>
      <c r="H436" s="103">
        <f t="shared" si="30"/>
        <v>360</v>
      </c>
    </row>
    <row r="437" spans="1:8" ht="21" x14ac:dyDescent="0.4">
      <c r="A437" s="111" t="s">
        <v>106</v>
      </c>
      <c r="B437" s="112">
        <v>100</v>
      </c>
      <c r="C437" s="111">
        <v>45330</v>
      </c>
      <c r="D437" s="112">
        <v>2024</v>
      </c>
      <c r="E437" s="104">
        <f t="shared" si="28"/>
        <v>781.00999999999976</v>
      </c>
      <c r="F437" s="102">
        <f t="shared" si="26"/>
        <v>681.00999999999976</v>
      </c>
      <c r="G437" s="103">
        <f t="shared" si="29"/>
        <v>5415</v>
      </c>
      <c r="H437" s="103">
        <f t="shared" si="30"/>
        <v>361</v>
      </c>
    </row>
    <row r="438" spans="1:8" ht="21" x14ac:dyDescent="0.4">
      <c r="A438" s="111" t="s">
        <v>106</v>
      </c>
      <c r="B438" s="112">
        <v>7</v>
      </c>
      <c r="C438" s="111">
        <v>45331</v>
      </c>
      <c r="D438" s="112">
        <v>2024</v>
      </c>
      <c r="E438" s="104">
        <f t="shared" si="28"/>
        <v>696.00999999999976</v>
      </c>
      <c r="F438" s="102">
        <f t="shared" si="26"/>
        <v>689.00999999999976</v>
      </c>
      <c r="G438" s="103">
        <f t="shared" si="29"/>
        <v>5430</v>
      </c>
      <c r="H438" s="103">
        <f t="shared" si="30"/>
        <v>362</v>
      </c>
    </row>
    <row r="439" spans="1:8" ht="21" x14ac:dyDescent="0.4">
      <c r="A439" s="111" t="s">
        <v>106</v>
      </c>
      <c r="B439" s="112">
        <v>9.5</v>
      </c>
      <c r="C439" s="111">
        <v>45332</v>
      </c>
      <c r="D439" s="112">
        <v>2024</v>
      </c>
      <c r="E439" s="104">
        <f t="shared" si="28"/>
        <v>704.00999999999976</v>
      </c>
      <c r="F439" s="102">
        <f t="shared" si="26"/>
        <v>694.50999999999976</v>
      </c>
      <c r="G439" s="103">
        <f t="shared" si="29"/>
        <v>5445</v>
      </c>
      <c r="H439" s="103">
        <f t="shared" si="30"/>
        <v>363</v>
      </c>
    </row>
    <row r="440" spans="1:8" ht="21" x14ac:dyDescent="0.4">
      <c r="A440" s="111" t="s">
        <v>106</v>
      </c>
      <c r="B440" s="112">
        <v>3.5</v>
      </c>
      <c r="C440" s="111">
        <v>45333</v>
      </c>
      <c r="D440" s="112">
        <v>2024</v>
      </c>
      <c r="E440" s="104">
        <f t="shared" si="28"/>
        <v>709.50999999999976</v>
      </c>
      <c r="F440" s="102">
        <f t="shared" si="26"/>
        <v>706.00999999999976</v>
      </c>
      <c r="G440" s="103">
        <f t="shared" si="29"/>
        <v>5460</v>
      </c>
      <c r="H440" s="103">
        <f t="shared" si="30"/>
        <v>364</v>
      </c>
    </row>
    <row r="441" spans="1:8" ht="21" x14ac:dyDescent="0.4">
      <c r="A441" s="111" t="s">
        <v>106</v>
      </c>
      <c r="B441" s="112">
        <v>6</v>
      </c>
      <c r="C441" s="111">
        <v>45334</v>
      </c>
      <c r="D441" s="112">
        <v>2024</v>
      </c>
      <c r="E441" s="104">
        <f t="shared" si="28"/>
        <v>721.00999999999976</v>
      </c>
      <c r="F441" s="102">
        <f t="shared" si="26"/>
        <v>715.00999999999976</v>
      </c>
      <c r="G441" s="103">
        <f t="shared" si="29"/>
        <v>5475</v>
      </c>
      <c r="H441" s="103">
        <f t="shared" si="30"/>
        <v>365</v>
      </c>
    </row>
    <row r="442" spans="1:8" ht="21" x14ac:dyDescent="0.4">
      <c r="A442" s="111" t="s">
        <v>106</v>
      </c>
      <c r="B442" s="112">
        <v>5.05</v>
      </c>
      <c r="C442" s="111">
        <v>45335</v>
      </c>
      <c r="D442" s="112">
        <v>2024</v>
      </c>
      <c r="E442" s="104">
        <f t="shared" si="28"/>
        <v>730.00999999999976</v>
      </c>
      <c r="F442" s="102">
        <f t="shared" si="26"/>
        <v>724.95999999999981</v>
      </c>
      <c r="G442" s="103">
        <f t="shared" si="29"/>
        <v>5490</v>
      </c>
      <c r="H442" s="103">
        <f t="shared" si="30"/>
        <v>366</v>
      </c>
    </row>
    <row r="443" spans="1:8" ht="21" x14ac:dyDescent="0.4">
      <c r="A443" s="111" t="s">
        <v>106</v>
      </c>
      <c r="B443" s="112">
        <v>45</v>
      </c>
      <c r="C443" s="111">
        <v>45336</v>
      </c>
      <c r="D443" s="112">
        <v>2024</v>
      </c>
      <c r="E443" s="104">
        <f t="shared" si="28"/>
        <v>739.95999999999981</v>
      </c>
      <c r="F443" s="102">
        <f t="shared" si="26"/>
        <v>694.95999999999981</v>
      </c>
      <c r="G443" s="103">
        <f t="shared" si="29"/>
        <v>5505</v>
      </c>
      <c r="H443" s="103">
        <f t="shared" si="30"/>
        <v>367</v>
      </c>
    </row>
    <row r="444" spans="1:8" ht="21" x14ac:dyDescent="0.4">
      <c r="A444" s="111" t="s">
        <v>106</v>
      </c>
      <c r="B444" s="112">
        <v>30</v>
      </c>
      <c r="C444" s="111">
        <v>45337</v>
      </c>
      <c r="D444" s="112">
        <v>2024</v>
      </c>
      <c r="E444" s="104">
        <f t="shared" si="28"/>
        <v>709.95999999999981</v>
      </c>
      <c r="F444" s="102">
        <f t="shared" si="26"/>
        <v>679.95999999999981</v>
      </c>
      <c r="G444" s="103">
        <f t="shared" si="29"/>
        <v>5520</v>
      </c>
      <c r="H444" s="103">
        <f t="shared" si="30"/>
        <v>368</v>
      </c>
    </row>
    <row r="445" spans="1:8" ht="21" x14ac:dyDescent="0.4">
      <c r="A445" s="111" t="s">
        <v>106</v>
      </c>
      <c r="B445" s="112">
        <v>27.5</v>
      </c>
      <c r="C445" s="111">
        <v>45338</v>
      </c>
      <c r="D445" s="112">
        <v>2024</v>
      </c>
      <c r="E445" s="104">
        <f t="shared" si="28"/>
        <v>694.95999999999981</v>
      </c>
      <c r="F445" s="102">
        <f t="shared" si="26"/>
        <v>667.45999999999981</v>
      </c>
      <c r="G445" s="103">
        <f t="shared" si="29"/>
        <v>5535</v>
      </c>
      <c r="H445" s="103">
        <f t="shared" si="30"/>
        <v>369</v>
      </c>
    </row>
    <row r="446" spans="1:8" ht="21" x14ac:dyDescent="0.4">
      <c r="A446" s="111" t="s">
        <v>106</v>
      </c>
      <c r="B446" s="112">
        <v>25</v>
      </c>
      <c r="C446" s="111">
        <v>45339</v>
      </c>
      <c r="D446" s="112">
        <v>2024</v>
      </c>
      <c r="E446" s="104">
        <f t="shared" si="28"/>
        <v>682.45999999999981</v>
      </c>
      <c r="F446" s="102">
        <f t="shared" si="26"/>
        <v>657.45999999999981</v>
      </c>
      <c r="G446" s="103">
        <f t="shared" si="29"/>
        <v>5550</v>
      </c>
      <c r="H446" s="103">
        <f t="shared" si="30"/>
        <v>370</v>
      </c>
    </row>
    <row r="447" spans="1:8" ht="21" x14ac:dyDescent="0.4">
      <c r="A447" s="111" t="s">
        <v>106</v>
      </c>
      <c r="B447" s="112">
        <v>12.5</v>
      </c>
      <c r="C447" s="111">
        <v>45340</v>
      </c>
      <c r="D447" s="112">
        <v>2024</v>
      </c>
      <c r="E447" s="104">
        <f t="shared" si="28"/>
        <v>672.45999999999981</v>
      </c>
      <c r="F447" s="102">
        <f t="shared" si="26"/>
        <v>659.95999999999981</v>
      </c>
      <c r="G447" s="103">
        <f t="shared" si="29"/>
        <v>5565</v>
      </c>
      <c r="H447" s="103">
        <f t="shared" si="30"/>
        <v>371</v>
      </c>
    </row>
    <row r="448" spans="1:8" ht="21" x14ac:dyDescent="0.4">
      <c r="A448" s="111" t="s">
        <v>106</v>
      </c>
      <c r="B448" s="112">
        <v>9.5</v>
      </c>
      <c r="C448" s="111">
        <v>45341</v>
      </c>
      <c r="D448" s="112">
        <v>2024</v>
      </c>
      <c r="E448" s="104">
        <f t="shared" si="28"/>
        <v>674.95999999999981</v>
      </c>
      <c r="F448" s="102">
        <f t="shared" si="26"/>
        <v>665.45999999999981</v>
      </c>
      <c r="G448" s="103">
        <f t="shared" si="29"/>
        <v>5580</v>
      </c>
      <c r="H448" s="103">
        <f t="shared" si="30"/>
        <v>372</v>
      </c>
    </row>
    <row r="449" spans="1:8" ht="21" x14ac:dyDescent="0.4">
      <c r="A449" s="111" t="s">
        <v>106</v>
      </c>
      <c r="B449" s="112">
        <v>75</v>
      </c>
      <c r="C449" s="111">
        <v>45342</v>
      </c>
      <c r="D449" s="112">
        <v>2024</v>
      </c>
      <c r="E449" s="104">
        <f t="shared" si="28"/>
        <v>680.45999999999981</v>
      </c>
      <c r="F449" s="102">
        <f t="shared" si="26"/>
        <v>605.45999999999981</v>
      </c>
      <c r="G449" s="103">
        <f t="shared" si="29"/>
        <v>5595</v>
      </c>
      <c r="H449" s="103">
        <f t="shared" si="30"/>
        <v>373</v>
      </c>
    </row>
    <row r="450" spans="1:8" ht="21" x14ac:dyDescent="0.4">
      <c r="A450" s="111" t="s">
        <v>106</v>
      </c>
      <c r="B450" s="112">
        <v>6.55</v>
      </c>
      <c r="C450" s="111">
        <v>45343</v>
      </c>
      <c r="D450" s="112">
        <v>2024</v>
      </c>
      <c r="E450" s="104">
        <f t="shared" si="28"/>
        <v>620.45999999999981</v>
      </c>
      <c r="F450" s="102">
        <f t="shared" si="26"/>
        <v>613.90999999999985</v>
      </c>
      <c r="G450" s="103">
        <f t="shared" si="29"/>
        <v>5610</v>
      </c>
      <c r="H450" s="103">
        <f t="shared" si="30"/>
        <v>374</v>
      </c>
    </row>
    <row r="451" spans="1:8" ht="21" x14ac:dyDescent="0.4">
      <c r="A451" s="111" t="s">
        <v>106</v>
      </c>
      <c r="B451" s="112">
        <v>30</v>
      </c>
      <c r="C451" s="111">
        <v>45344</v>
      </c>
      <c r="D451" s="112">
        <v>2024</v>
      </c>
      <c r="E451" s="104">
        <f t="shared" si="28"/>
        <v>628.90999999999985</v>
      </c>
      <c r="F451" s="102">
        <f t="shared" ref="F451:F514" si="31">E451-B451</f>
        <v>598.90999999999985</v>
      </c>
      <c r="G451" s="103">
        <f t="shared" si="29"/>
        <v>5625</v>
      </c>
      <c r="H451" s="103">
        <f t="shared" si="30"/>
        <v>375</v>
      </c>
    </row>
    <row r="452" spans="1:8" ht="21" x14ac:dyDescent="0.4">
      <c r="A452" s="111" t="s">
        <v>106</v>
      </c>
      <c r="B452" s="112">
        <v>16.7</v>
      </c>
      <c r="C452" s="111">
        <v>45345</v>
      </c>
      <c r="D452" s="112">
        <v>2024</v>
      </c>
      <c r="E452" s="104">
        <f t="shared" ref="E452:E515" si="32">IF(C452=C451,F451,F451+15)</f>
        <v>613.90999999999985</v>
      </c>
      <c r="F452" s="102">
        <f t="shared" si="31"/>
        <v>597.20999999999981</v>
      </c>
      <c r="G452" s="103">
        <f t="shared" si="29"/>
        <v>5640</v>
      </c>
      <c r="H452" s="103">
        <f t="shared" si="30"/>
        <v>376</v>
      </c>
    </row>
    <row r="453" spans="1:8" ht="21" x14ac:dyDescent="0.4">
      <c r="A453" s="111" t="s">
        <v>106</v>
      </c>
      <c r="B453" s="112">
        <v>17</v>
      </c>
      <c r="C453" s="111">
        <v>45346</v>
      </c>
      <c r="D453" s="112">
        <v>2024</v>
      </c>
      <c r="E453" s="104">
        <f t="shared" si="32"/>
        <v>612.20999999999981</v>
      </c>
      <c r="F453" s="102">
        <f t="shared" si="31"/>
        <v>595.20999999999981</v>
      </c>
      <c r="G453" s="103">
        <f t="shared" si="29"/>
        <v>5655</v>
      </c>
      <c r="H453" s="103">
        <f t="shared" si="30"/>
        <v>377</v>
      </c>
    </row>
    <row r="454" spans="1:8" ht="21" x14ac:dyDescent="0.4">
      <c r="A454" s="111" t="s">
        <v>106</v>
      </c>
      <c r="B454" s="112">
        <v>12</v>
      </c>
      <c r="C454" s="111">
        <v>45347</v>
      </c>
      <c r="D454" s="112">
        <v>2024</v>
      </c>
      <c r="E454" s="104">
        <f t="shared" si="32"/>
        <v>610.20999999999981</v>
      </c>
      <c r="F454" s="102">
        <f t="shared" si="31"/>
        <v>598.20999999999981</v>
      </c>
      <c r="G454" s="103">
        <f t="shared" si="29"/>
        <v>5670</v>
      </c>
      <c r="H454" s="103">
        <f t="shared" si="30"/>
        <v>378</v>
      </c>
    </row>
    <row r="455" spans="1:8" ht="21" x14ac:dyDescent="0.4">
      <c r="A455" s="111" t="s">
        <v>106</v>
      </c>
      <c r="B455" s="112">
        <v>17</v>
      </c>
      <c r="C455" s="111">
        <v>45348</v>
      </c>
      <c r="D455" s="112">
        <v>2024</v>
      </c>
      <c r="E455" s="104">
        <f t="shared" si="32"/>
        <v>613.20999999999981</v>
      </c>
      <c r="F455" s="102">
        <f t="shared" si="31"/>
        <v>596.20999999999981</v>
      </c>
      <c r="G455" s="103">
        <f t="shared" si="29"/>
        <v>5685</v>
      </c>
      <c r="H455" s="103">
        <f t="shared" si="30"/>
        <v>379</v>
      </c>
    </row>
    <row r="456" spans="1:8" ht="21" x14ac:dyDescent="0.4">
      <c r="A456" s="111" t="s">
        <v>106</v>
      </c>
      <c r="B456" s="112">
        <v>9.5</v>
      </c>
      <c r="C456" s="111">
        <v>45349</v>
      </c>
      <c r="D456" s="112">
        <v>2024</v>
      </c>
      <c r="E456" s="104">
        <f t="shared" si="32"/>
        <v>611.20999999999981</v>
      </c>
      <c r="F456" s="102">
        <f t="shared" si="31"/>
        <v>601.70999999999981</v>
      </c>
      <c r="G456" s="103">
        <f t="shared" si="29"/>
        <v>5700</v>
      </c>
      <c r="H456" s="103">
        <f t="shared" si="30"/>
        <v>380</v>
      </c>
    </row>
    <row r="457" spans="1:8" ht="21" x14ac:dyDescent="0.4">
      <c r="A457" s="111" t="s">
        <v>106</v>
      </c>
      <c r="B457" s="112">
        <v>50</v>
      </c>
      <c r="C457" s="111">
        <v>45350</v>
      </c>
      <c r="D457" s="112">
        <v>2024</v>
      </c>
      <c r="E457" s="104">
        <f t="shared" si="32"/>
        <v>616.70999999999981</v>
      </c>
      <c r="F457" s="102">
        <f t="shared" si="31"/>
        <v>566.70999999999981</v>
      </c>
      <c r="G457" s="103">
        <f t="shared" si="29"/>
        <v>5715</v>
      </c>
      <c r="H457" s="103">
        <f t="shared" si="30"/>
        <v>381</v>
      </c>
    </row>
    <row r="458" spans="1:8" ht="21" x14ac:dyDescent="0.4">
      <c r="A458" s="111" t="s">
        <v>106</v>
      </c>
      <c r="B458" s="112">
        <v>10</v>
      </c>
      <c r="C458" s="111">
        <v>45351</v>
      </c>
      <c r="D458" s="112">
        <v>2024</v>
      </c>
      <c r="E458" s="104">
        <f t="shared" si="32"/>
        <v>581.70999999999981</v>
      </c>
      <c r="F458" s="102">
        <f t="shared" si="31"/>
        <v>571.70999999999981</v>
      </c>
      <c r="G458" s="103">
        <f t="shared" si="29"/>
        <v>5730</v>
      </c>
      <c r="H458" s="103">
        <f t="shared" si="30"/>
        <v>382</v>
      </c>
    </row>
    <row r="459" spans="1:8" ht="21" x14ac:dyDescent="0.4">
      <c r="A459" s="111" t="s">
        <v>106</v>
      </c>
      <c r="B459" s="112">
        <v>11</v>
      </c>
      <c r="C459" s="111">
        <v>45352</v>
      </c>
      <c r="D459" s="112">
        <v>2024</v>
      </c>
      <c r="E459" s="104">
        <f t="shared" si="32"/>
        <v>586.70999999999981</v>
      </c>
      <c r="F459" s="102">
        <f t="shared" si="31"/>
        <v>575.70999999999981</v>
      </c>
      <c r="G459" s="103">
        <f t="shared" si="29"/>
        <v>5745</v>
      </c>
      <c r="H459" s="103">
        <f t="shared" si="30"/>
        <v>383</v>
      </c>
    </row>
    <row r="460" spans="1:8" ht="21" x14ac:dyDescent="0.4">
      <c r="A460" s="111" t="s">
        <v>106</v>
      </c>
      <c r="B460" s="112">
        <v>19</v>
      </c>
      <c r="C460" s="111">
        <v>45353</v>
      </c>
      <c r="D460" s="112">
        <v>2024</v>
      </c>
      <c r="E460" s="104">
        <f t="shared" si="32"/>
        <v>590.70999999999981</v>
      </c>
      <c r="F460" s="102">
        <f t="shared" si="31"/>
        <v>571.70999999999981</v>
      </c>
      <c r="G460" s="103">
        <f t="shared" si="29"/>
        <v>5760</v>
      </c>
      <c r="H460" s="103">
        <f t="shared" si="30"/>
        <v>384</v>
      </c>
    </row>
    <row r="461" spans="1:8" ht="21" x14ac:dyDescent="0.4">
      <c r="A461" s="111" t="s">
        <v>106</v>
      </c>
      <c r="B461" s="112">
        <v>18</v>
      </c>
      <c r="C461" s="111">
        <v>45354</v>
      </c>
      <c r="D461" s="112">
        <v>2024</v>
      </c>
      <c r="E461" s="104">
        <f t="shared" si="32"/>
        <v>586.70999999999981</v>
      </c>
      <c r="F461" s="102">
        <f t="shared" si="31"/>
        <v>568.70999999999981</v>
      </c>
      <c r="G461" s="103">
        <f t="shared" si="29"/>
        <v>5775</v>
      </c>
      <c r="H461" s="103">
        <f t="shared" si="30"/>
        <v>385</v>
      </c>
    </row>
    <row r="462" spans="1:8" ht="21" x14ac:dyDescent="0.4">
      <c r="A462" s="111" t="s">
        <v>106</v>
      </c>
      <c r="B462" s="112">
        <v>9</v>
      </c>
      <c r="C462" s="111">
        <v>45355</v>
      </c>
      <c r="D462" s="112">
        <v>2024</v>
      </c>
      <c r="E462" s="104">
        <f t="shared" si="32"/>
        <v>583.70999999999981</v>
      </c>
      <c r="F462" s="102">
        <f t="shared" si="31"/>
        <v>574.70999999999981</v>
      </c>
      <c r="G462" s="103">
        <f t="shared" si="29"/>
        <v>5790</v>
      </c>
      <c r="H462" s="103">
        <f t="shared" si="30"/>
        <v>386</v>
      </c>
    </row>
    <row r="463" spans="1:8" ht="21" x14ac:dyDescent="0.4">
      <c r="A463" s="111" t="s">
        <v>106</v>
      </c>
      <c r="B463" s="112">
        <v>26</v>
      </c>
      <c r="C463" s="111">
        <v>45356</v>
      </c>
      <c r="D463" s="112">
        <v>2024</v>
      </c>
      <c r="E463" s="104">
        <f t="shared" si="32"/>
        <v>589.70999999999981</v>
      </c>
      <c r="F463" s="102">
        <f t="shared" si="31"/>
        <v>563.70999999999981</v>
      </c>
      <c r="G463" s="103">
        <f t="shared" si="29"/>
        <v>5805</v>
      </c>
      <c r="H463" s="103">
        <f t="shared" si="30"/>
        <v>387</v>
      </c>
    </row>
    <row r="464" spans="1:8" ht="21" x14ac:dyDescent="0.4">
      <c r="A464" s="111" t="s">
        <v>120</v>
      </c>
      <c r="B464" s="112">
        <v>0</v>
      </c>
      <c r="C464" s="111">
        <v>45357</v>
      </c>
      <c r="D464" s="112">
        <v>2024</v>
      </c>
      <c r="E464" s="104">
        <f t="shared" si="32"/>
        <v>578.70999999999981</v>
      </c>
      <c r="F464" s="102">
        <f t="shared" si="31"/>
        <v>578.70999999999981</v>
      </c>
      <c r="G464" s="103">
        <f t="shared" si="29"/>
        <v>5820</v>
      </c>
      <c r="H464" s="103">
        <f t="shared" si="30"/>
        <v>388</v>
      </c>
    </row>
    <row r="465" spans="1:8" ht="21" x14ac:dyDescent="0.4">
      <c r="A465" s="111" t="s">
        <v>106</v>
      </c>
      <c r="B465" s="112">
        <v>9.5</v>
      </c>
      <c r="C465" s="111">
        <v>45358</v>
      </c>
      <c r="D465" s="112">
        <v>2024</v>
      </c>
      <c r="E465" s="104">
        <f t="shared" si="32"/>
        <v>593.70999999999981</v>
      </c>
      <c r="F465" s="102">
        <f t="shared" si="31"/>
        <v>584.20999999999981</v>
      </c>
      <c r="G465" s="103">
        <f t="shared" si="29"/>
        <v>5835</v>
      </c>
      <c r="H465" s="103">
        <f t="shared" si="30"/>
        <v>389</v>
      </c>
    </row>
    <row r="466" spans="1:8" ht="21" x14ac:dyDescent="0.4">
      <c r="A466" s="111" t="s">
        <v>106</v>
      </c>
      <c r="B466" s="112">
        <v>14.5</v>
      </c>
      <c r="C466" s="111">
        <v>45359</v>
      </c>
      <c r="D466" s="112">
        <v>2024</v>
      </c>
      <c r="E466" s="104">
        <f t="shared" si="32"/>
        <v>599.20999999999981</v>
      </c>
      <c r="F466" s="102">
        <f t="shared" si="31"/>
        <v>584.70999999999981</v>
      </c>
      <c r="G466" s="103">
        <f t="shared" si="29"/>
        <v>5850</v>
      </c>
      <c r="H466" s="103">
        <f t="shared" si="30"/>
        <v>390</v>
      </c>
    </row>
    <row r="467" spans="1:8" ht="21" x14ac:dyDescent="0.4">
      <c r="A467" s="111" t="s">
        <v>106</v>
      </c>
      <c r="B467" s="112">
        <v>5</v>
      </c>
      <c r="C467" s="111">
        <v>45360</v>
      </c>
      <c r="D467" s="112">
        <v>2024</v>
      </c>
      <c r="E467" s="104">
        <f t="shared" si="32"/>
        <v>599.70999999999981</v>
      </c>
      <c r="F467" s="102">
        <f t="shared" si="31"/>
        <v>594.70999999999981</v>
      </c>
      <c r="G467" s="103">
        <f t="shared" ref="G467:G530" si="33">IF(C467&lt;&gt;C466, 15+G466,G466)</f>
        <v>5865</v>
      </c>
      <c r="H467" s="103">
        <f t="shared" si="30"/>
        <v>391</v>
      </c>
    </row>
    <row r="468" spans="1:8" ht="21" x14ac:dyDescent="0.4">
      <c r="A468" s="111" t="s">
        <v>106</v>
      </c>
      <c r="B468" s="112">
        <v>8.5</v>
      </c>
      <c r="C468" s="111">
        <v>45361</v>
      </c>
      <c r="D468" s="112">
        <v>2024</v>
      </c>
      <c r="E468" s="104">
        <f t="shared" si="32"/>
        <v>609.70999999999981</v>
      </c>
      <c r="F468" s="102">
        <f t="shared" si="31"/>
        <v>601.20999999999981</v>
      </c>
      <c r="G468" s="103">
        <f t="shared" si="33"/>
        <v>5880</v>
      </c>
      <c r="H468" s="103">
        <f t="shared" si="30"/>
        <v>392</v>
      </c>
    </row>
    <row r="469" spans="1:8" ht="21" x14ac:dyDescent="0.4">
      <c r="A469" s="111" t="s">
        <v>120</v>
      </c>
      <c r="B469" s="112">
        <v>0</v>
      </c>
      <c r="C469" s="111">
        <v>45362</v>
      </c>
      <c r="D469" s="112">
        <v>2024</v>
      </c>
      <c r="E469" s="104">
        <f t="shared" si="32"/>
        <v>616.20999999999981</v>
      </c>
      <c r="F469" s="102">
        <f t="shared" si="31"/>
        <v>616.20999999999981</v>
      </c>
      <c r="G469" s="103">
        <f t="shared" si="33"/>
        <v>5895</v>
      </c>
      <c r="H469" s="103">
        <f t="shared" si="30"/>
        <v>393</v>
      </c>
    </row>
    <row r="470" spans="1:8" ht="21" x14ac:dyDescent="0.4">
      <c r="A470" s="111" t="s">
        <v>106</v>
      </c>
      <c r="B470" s="112">
        <v>8</v>
      </c>
      <c r="C470" s="111">
        <v>45363</v>
      </c>
      <c r="D470" s="112">
        <v>2024</v>
      </c>
      <c r="E470" s="104">
        <f t="shared" si="32"/>
        <v>631.20999999999981</v>
      </c>
      <c r="F470" s="102">
        <f t="shared" si="31"/>
        <v>623.20999999999981</v>
      </c>
      <c r="G470" s="103">
        <f t="shared" si="33"/>
        <v>5910</v>
      </c>
      <c r="H470" s="103">
        <f t="shared" si="30"/>
        <v>394</v>
      </c>
    </row>
    <row r="471" spans="1:8" ht="21" x14ac:dyDescent="0.4">
      <c r="A471" s="111" t="s">
        <v>106</v>
      </c>
      <c r="B471" s="112">
        <v>45</v>
      </c>
      <c r="C471" s="111">
        <v>45364</v>
      </c>
      <c r="D471" s="112">
        <v>2024</v>
      </c>
      <c r="E471" s="104">
        <f t="shared" si="32"/>
        <v>638.20999999999981</v>
      </c>
      <c r="F471" s="102">
        <f t="shared" si="31"/>
        <v>593.20999999999981</v>
      </c>
      <c r="G471" s="103">
        <f t="shared" si="33"/>
        <v>5925</v>
      </c>
      <c r="H471" s="103">
        <f t="shared" si="30"/>
        <v>395</v>
      </c>
    </row>
    <row r="472" spans="1:8" ht="21" x14ac:dyDescent="0.4">
      <c r="A472" s="111" t="s">
        <v>106</v>
      </c>
      <c r="B472" s="112">
        <v>15</v>
      </c>
      <c r="C472" s="111">
        <v>45365</v>
      </c>
      <c r="D472" s="112">
        <v>2024</v>
      </c>
      <c r="E472" s="104">
        <f t="shared" si="32"/>
        <v>608.20999999999981</v>
      </c>
      <c r="F472" s="102">
        <f t="shared" si="31"/>
        <v>593.20999999999981</v>
      </c>
      <c r="G472" s="103">
        <f t="shared" si="33"/>
        <v>5940</v>
      </c>
      <c r="H472" s="103">
        <f t="shared" si="30"/>
        <v>396</v>
      </c>
    </row>
    <row r="473" spans="1:8" ht="21" x14ac:dyDescent="0.4">
      <c r="A473" s="111" t="s">
        <v>106</v>
      </c>
      <c r="B473" s="112">
        <v>8.6999999999999993</v>
      </c>
      <c r="C473" s="111">
        <v>45366</v>
      </c>
      <c r="D473" s="112">
        <v>2024</v>
      </c>
      <c r="E473" s="104">
        <f t="shared" si="32"/>
        <v>608.20999999999981</v>
      </c>
      <c r="F473" s="102">
        <f t="shared" si="31"/>
        <v>599.50999999999976</v>
      </c>
      <c r="G473" s="103">
        <f t="shared" si="33"/>
        <v>5955</v>
      </c>
      <c r="H473" s="103">
        <f t="shared" si="30"/>
        <v>397</v>
      </c>
    </row>
    <row r="474" spans="1:8" ht="21" x14ac:dyDescent="0.4">
      <c r="A474" s="111" t="s">
        <v>106</v>
      </c>
      <c r="B474" s="112">
        <v>7.75</v>
      </c>
      <c r="C474" s="111">
        <v>45367</v>
      </c>
      <c r="D474" s="112">
        <v>2024</v>
      </c>
      <c r="E474" s="104">
        <f t="shared" si="32"/>
        <v>614.50999999999976</v>
      </c>
      <c r="F474" s="102">
        <f t="shared" si="31"/>
        <v>606.75999999999976</v>
      </c>
      <c r="G474" s="103">
        <f t="shared" si="33"/>
        <v>5970</v>
      </c>
      <c r="H474" s="103">
        <f t="shared" si="30"/>
        <v>398</v>
      </c>
    </row>
    <row r="475" spans="1:8" ht="21" x14ac:dyDescent="0.4">
      <c r="A475" s="111" t="s">
        <v>106</v>
      </c>
      <c r="B475" s="112">
        <v>7.7</v>
      </c>
      <c r="C475" s="111">
        <v>45368</v>
      </c>
      <c r="D475" s="112">
        <v>2024</v>
      </c>
      <c r="E475" s="104">
        <f t="shared" si="32"/>
        <v>621.75999999999976</v>
      </c>
      <c r="F475" s="102">
        <f t="shared" si="31"/>
        <v>614.05999999999972</v>
      </c>
      <c r="G475" s="103">
        <f t="shared" si="33"/>
        <v>5985</v>
      </c>
      <c r="H475" s="103">
        <f t="shared" si="30"/>
        <v>399</v>
      </c>
    </row>
    <row r="476" spans="1:8" ht="21" x14ac:dyDescent="0.4">
      <c r="A476" s="111" t="s">
        <v>106</v>
      </c>
      <c r="B476" s="112">
        <v>37</v>
      </c>
      <c r="C476" s="111">
        <v>45369</v>
      </c>
      <c r="D476" s="112">
        <v>2024</v>
      </c>
      <c r="E476" s="104">
        <f t="shared" si="32"/>
        <v>629.05999999999972</v>
      </c>
      <c r="F476" s="102">
        <f t="shared" si="31"/>
        <v>592.05999999999972</v>
      </c>
      <c r="G476" s="103">
        <f t="shared" si="33"/>
        <v>6000</v>
      </c>
      <c r="H476" s="103">
        <f t="shared" si="30"/>
        <v>400</v>
      </c>
    </row>
    <row r="477" spans="1:8" ht="21" x14ac:dyDescent="0.4">
      <c r="A477" s="111" t="s">
        <v>106</v>
      </c>
      <c r="B477" s="112">
        <v>58</v>
      </c>
      <c r="C477" s="111">
        <v>45370</v>
      </c>
      <c r="D477" s="112">
        <v>2024</v>
      </c>
      <c r="E477" s="104">
        <f t="shared" si="32"/>
        <v>607.05999999999972</v>
      </c>
      <c r="F477" s="102">
        <f t="shared" si="31"/>
        <v>549.05999999999972</v>
      </c>
      <c r="G477" s="103">
        <f t="shared" si="33"/>
        <v>6015</v>
      </c>
      <c r="H477" s="103">
        <f t="shared" si="30"/>
        <v>401</v>
      </c>
    </row>
    <row r="478" spans="1:8" ht="21" x14ac:dyDescent="0.4">
      <c r="A478" s="111" t="s">
        <v>106</v>
      </c>
      <c r="B478" s="112">
        <v>4.45</v>
      </c>
      <c r="C478" s="111">
        <v>45371</v>
      </c>
      <c r="D478" s="112">
        <v>2024</v>
      </c>
      <c r="E478" s="104">
        <f t="shared" si="32"/>
        <v>564.05999999999972</v>
      </c>
      <c r="F478" s="102">
        <f t="shared" si="31"/>
        <v>559.60999999999967</v>
      </c>
      <c r="G478" s="103">
        <f t="shared" si="33"/>
        <v>6030</v>
      </c>
      <c r="H478" s="103">
        <f t="shared" si="30"/>
        <v>402</v>
      </c>
    </row>
    <row r="479" spans="1:8" ht="21" x14ac:dyDescent="0.4">
      <c r="A479" s="111" t="s">
        <v>106</v>
      </c>
      <c r="B479" s="112">
        <v>11</v>
      </c>
      <c r="C479" s="111">
        <v>45372</v>
      </c>
      <c r="D479" s="112">
        <v>2024</v>
      </c>
      <c r="E479" s="104">
        <f t="shared" si="32"/>
        <v>574.60999999999967</v>
      </c>
      <c r="F479" s="102">
        <f t="shared" si="31"/>
        <v>563.60999999999967</v>
      </c>
      <c r="G479" s="103">
        <f t="shared" si="33"/>
        <v>6045</v>
      </c>
      <c r="H479" s="103">
        <f t="shared" si="30"/>
        <v>403</v>
      </c>
    </row>
    <row r="480" spans="1:8" ht="21" x14ac:dyDescent="0.4">
      <c r="A480" s="111" t="s">
        <v>106</v>
      </c>
      <c r="B480" s="112">
        <v>15.3</v>
      </c>
      <c r="C480" s="111">
        <v>45373</v>
      </c>
      <c r="D480" s="112">
        <v>2024</v>
      </c>
      <c r="E480" s="104">
        <f t="shared" si="32"/>
        <v>578.60999999999967</v>
      </c>
      <c r="F480" s="102">
        <f t="shared" si="31"/>
        <v>563.30999999999972</v>
      </c>
      <c r="G480" s="103">
        <f t="shared" si="33"/>
        <v>6060</v>
      </c>
      <c r="H480" s="103">
        <f t="shared" si="30"/>
        <v>404</v>
      </c>
    </row>
    <row r="481" spans="1:8" ht="21" x14ac:dyDescent="0.4">
      <c r="A481" s="111" t="s">
        <v>106</v>
      </c>
      <c r="B481" s="112">
        <v>39</v>
      </c>
      <c r="C481" s="111">
        <v>45374</v>
      </c>
      <c r="D481" s="112">
        <v>2024</v>
      </c>
      <c r="E481" s="104">
        <f t="shared" si="32"/>
        <v>578.30999999999972</v>
      </c>
      <c r="F481" s="102">
        <f t="shared" si="31"/>
        <v>539.30999999999972</v>
      </c>
      <c r="G481" s="103">
        <f t="shared" si="33"/>
        <v>6075</v>
      </c>
      <c r="H481" s="103">
        <f t="shared" si="30"/>
        <v>405</v>
      </c>
    </row>
    <row r="482" spans="1:8" ht="21" x14ac:dyDescent="0.4">
      <c r="A482" s="111" t="s">
        <v>120</v>
      </c>
      <c r="B482" s="112">
        <v>0</v>
      </c>
      <c r="C482" s="111">
        <v>45375</v>
      </c>
      <c r="D482" s="112">
        <v>2024</v>
      </c>
      <c r="E482" s="104">
        <f t="shared" si="32"/>
        <v>554.30999999999972</v>
      </c>
      <c r="F482" s="102">
        <f t="shared" si="31"/>
        <v>554.30999999999972</v>
      </c>
      <c r="G482" s="103">
        <f t="shared" si="33"/>
        <v>6090</v>
      </c>
      <c r="H482" s="103">
        <f t="shared" si="30"/>
        <v>406</v>
      </c>
    </row>
    <row r="483" spans="1:8" ht="21" x14ac:dyDescent="0.4">
      <c r="A483" s="111" t="s">
        <v>106</v>
      </c>
      <c r="B483" s="112">
        <v>47</v>
      </c>
      <c r="C483" s="111">
        <v>45376</v>
      </c>
      <c r="D483" s="112">
        <v>2024</v>
      </c>
      <c r="E483" s="104">
        <f t="shared" si="32"/>
        <v>569.30999999999972</v>
      </c>
      <c r="F483" s="102">
        <f t="shared" si="31"/>
        <v>522.30999999999972</v>
      </c>
      <c r="G483" s="103">
        <f t="shared" si="33"/>
        <v>6105</v>
      </c>
      <c r="H483" s="103">
        <f t="shared" si="30"/>
        <v>407</v>
      </c>
    </row>
    <row r="484" spans="1:8" ht="21" x14ac:dyDescent="0.4">
      <c r="A484" s="111" t="s">
        <v>120</v>
      </c>
      <c r="B484" s="112">
        <v>0</v>
      </c>
      <c r="C484" s="111">
        <v>45377</v>
      </c>
      <c r="D484" s="112">
        <v>2024</v>
      </c>
      <c r="E484" s="104">
        <f t="shared" si="32"/>
        <v>537.30999999999972</v>
      </c>
      <c r="F484" s="102">
        <f t="shared" si="31"/>
        <v>537.30999999999972</v>
      </c>
      <c r="G484" s="103">
        <f t="shared" si="33"/>
        <v>6120</v>
      </c>
      <c r="H484" s="103">
        <f t="shared" si="30"/>
        <v>408</v>
      </c>
    </row>
    <row r="485" spans="1:8" ht="21" x14ac:dyDescent="0.4">
      <c r="A485" s="111" t="s">
        <v>106</v>
      </c>
      <c r="B485" s="112">
        <v>4.45</v>
      </c>
      <c r="C485" s="111">
        <v>45378</v>
      </c>
      <c r="D485" s="112">
        <v>2024</v>
      </c>
      <c r="E485" s="104">
        <f t="shared" si="32"/>
        <v>552.30999999999972</v>
      </c>
      <c r="F485" s="102">
        <f t="shared" si="31"/>
        <v>547.85999999999967</v>
      </c>
      <c r="G485" s="103">
        <f t="shared" si="33"/>
        <v>6135</v>
      </c>
      <c r="H485" s="103">
        <f t="shared" si="30"/>
        <v>409</v>
      </c>
    </row>
    <row r="486" spans="1:8" ht="21" x14ac:dyDescent="0.4">
      <c r="A486" s="111" t="s">
        <v>106</v>
      </c>
      <c r="B486" s="112">
        <v>25</v>
      </c>
      <c r="C486" s="111">
        <v>45379</v>
      </c>
      <c r="D486" s="112">
        <v>2024</v>
      </c>
      <c r="E486" s="104">
        <f t="shared" si="32"/>
        <v>562.85999999999967</v>
      </c>
      <c r="F486" s="102">
        <f t="shared" si="31"/>
        <v>537.85999999999967</v>
      </c>
      <c r="G486" s="103">
        <f t="shared" si="33"/>
        <v>6150</v>
      </c>
      <c r="H486" s="103">
        <f t="shared" si="30"/>
        <v>410</v>
      </c>
    </row>
    <row r="487" spans="1:8" ht="21" x14ac:dyDescent="0.4">
      <c r="A487" s="111" t="s">
        <v>106</v>
      </c>
      <c r="B487" s="112">
        <v>24</v>
      </c>
      <c r="C487" s="111">
        <v>45380</v>
      </c>
      <c r="D487" s="112">
        <v>2024</v>
      </c>
      <c r="E487" s="104">
        <f t="shared" si="32"/>
        <v>552.85999999999967</v>
      </c>
      <c r="F487" s="102">
        <f t="shared" si="31"/>
        <v>528.85999999999967</v>
      </c>
      <c r="G487" s="103">
        <f t="shared" si="33"/>
        <v>6165</v>
      </c>
      <c r="H487" s="103">
        <f t="shared" si="30"/>
        <v>411</v>
      </c>
    </row>
    <row r="488" spans="1:8" ht="21" x14ac:dyDescent="0.4">
      <c r="A488" s="111" t="s">
        <v>106</v>
      </c>
      <c r="B488" s="112">
        <v>9.3000000000000007</v>
      </c>
      <c r="C488" s="111">
        <v>45381</v>
      </c>
      <c r="D488" s="112">
        <v>2024</v>
      </c>
      <c r="E488" s="104">
        <f t="shared" si="32"/>
        <v>543.85999999999967</v>
      </c>
      <c r="F488" s="102">
        <f t="shared" si="31"/>
        <v>534.55999999999972</v>
      </c>
      <c r="G488" s="103">
        <f t="shared" si="33"/>
        <v>6180</v>
      </c>
      <c r="H488" s="103">
        <f t="shared" si="30"/>
        <v>412</v>
      </c>
    </row>
    <row r="489" spans="1:8" ht="21" x14ac:dyDescent="0.4">
      <c r="A489" s="111" t="s">
        <v>106</v>
      </c>
      <c r="B489" s="112">
        <v>24.5</v>
      </c>
      <c r="C489" s="111">
        <v>45382</v>
      </c>
      <c r="D489" s="112">
        <v>2024</v>
      </c>
      <c r="E489" s="104">
        <f t="shared" si="32"/>
        <v>549.55999999999972</v>
      </c>
      <c r="F489" s="102">
        <f t="shared" si="31"/>
        <v>525.05999999999972</v>
      </c>
      <c r="G489" s="103">
        <f t="shared" si="33"/>
        <v>6195</v>
      </c>
      <c r="H489" s="103">
        <f t="shared" si="30"/>
        <v>413</v>
      </c>
    </row>
    <row r="490" spans="1:8" ht="21" x14ac:dyDescent="0.4">
      <c r="A490" s="111" t="s">
        <v>106</v>
      </c>
      <c r="B490" s="112">
        <v>10</v>
      </c>
      <c r="C490" s="111">
        <v>45383</v>
      </c>
      <c r="D490" s="112">
        <v>2024</v>
      </c>
      <c r="E490" s="104">
        <f t="shared" si="32"/>
        <v>540.05999999999972</v>
      </c>
      <c r="F490" s="102">
        <f t="shared" si="31"/>
        <v>530.05999999999972</v>
      </c>
      <c r="G490" s="103">
        <f t="shared" si="33"/>
        <v>6210</v>
      </c>
      <c r="H490" s="103">
        <f t="shared" si="30"/>
        <v>414</v>
      </c>
    </row>
    <row r="491" spans="1:8" ht="21" x14ac:dyDescent="0.4">
      <c r="A491" s="111" t="s">
        <v>106</v>
      </c>
      <c r="B491" s="112">
        <v>4.45</v>
      </c>
      <c r="C491" s="111">
        <v>45384</v>
      </c>
      <c r="D491" s="112">
        <v>2024</v>
      </c>
      <c r="E491" s="104">
        <f t="shared" si="32"/>
        <v>545.05999999999972</v>
      </c>
      <c r="F491" s="102">
        <f t="shared" si="31"/>
        <v>540.60999999999967</v>
      </c>
      <c r="G491" s="103">
        <f t="shared" si="33"/>
        <v>6225</v>
      </c>
      <c r="H491" s="103">
        <f t="shared" si="30"/>
        <v>415</v>
      </c>
    </row>
    <row r="492" spans="1:8" ht="21" x14ac:dyDescent="0.4">
      <c r="A492" s="111" t="s">
        <v>106</v>
      </c>
      <c r="B492" s="112">
        <v>32</v>
      </c>
      <c r="C492" s="111">
        <v>45385</v>
      </c>
      <c r="D492" s="112">
        <v>2024</v>
      </c>
      <c r="E492" s="104">
        <f t="shared" si="32"/>
        <v>555.60999999999967</v>
      </c>
      <c r="F492" s="102">
        <f t="shared" si="31"/>
        <v>523.60999999999967</v>
      </c>
      <c r="G492" s="103">
        <f t="shared" si="33"/>
        <v>6240</v>
      </c>
      <c r="H492" s="103">
        <f t="shared" si="30"/>
        <v>416</v>
      </c>
    </row>
    <row r="493" spans="1:8" ht="21" x14ac:dyDescent="0.4">
      <c r="A493" s="111" t="s">
        <v>106</v>
      </c>
      <c r="B493" s="112">
        <v>1</v>
      </c>
      <c r="C493" s="111">
        <v>45386</v>
      </c>
      <c r="D493" s="112">
        <v>2024</v>
      </c>
      <c r="E493" s="104">
        <f t="shared" si="32"/>
        <v>538.60999999999967</v>
      </c>
      <c r="F493" s="102">
        <f t="shared" si="31"/>
        <v>537.60999999999967</v>
      </c>
      <c r="G493" s="103">
        <f t="shared" si="33"/>
        <v>6255</v>
      </c>
      <c r="H493" s="103">
        <f t="shared" si="30"/>
        <v>417</v>
      </c>
    </row>
    <row r="494" spans="1:8" ht="21" x14ac:dyDescent="0.4">
      <c r="A494" s="111" t="s">
        <v>106</v>
      </c>
      <c r="B494" s="112">
        <v>73.75</v>
      </c>
      <c r="C494" s="111">
        <v>45387</v>
      </c>
      <c r="D494" s="112">
        <v>2024</v>
      </c>
      <c r="E494" s="104">
        <f t="shared" si="32"/>
        <v>552.60999999999967</v>
      </c>
      <c r="F494" s="102">
        <f t="shared" si="31"/>
        <v>478.85999999999967</v>
      </c>
      <c r="G494" s="103">
        <f t="shared" si="33"/>
        <v>6270</v>
      </c>
      <c r="H494" s="103">
        <f t="shared" si="30"/>
        <v>418</v>
      </c>
    </row>
    <row r="495" spans="1:8" ht="21" x14ac:dyDescent="0.4">
      <c r="A495" s="111" t="s">
        <v>106</v>
      </c>
      <c r="B495" s="112">
        <v>48</v>
      </c>
      <c r="C495" s="111">
        <v>45388</v>
      </c>
      <c r="D495" s="112">
        <v>2024</v>
      </c>
      <c r="E495" s="104">
        <f t="shared" si="32"/>
        <v>493.85999999999967</v>
      </c>
      <c r="F495" s="102">
        <f t="shared" si="31"/>
        <v>445.85999999999967</v>
      </c>
      <c r="G495" s="103">
        <f t="shared" si="33"/>
        <v>6285</v>
      </c>
      <c r="H495" s="103">
        <f t="shared" si="30"/>
        <v>419</v>
      </c>
    </row>
    <row r="496" spans="1:8" ht="21" x14ac:dyDescent="0.4">
      <c r="A496" s="111" t="s">
        <v>106</v>
      </c>
      <c r="B496" s="112">
        <v>20</v>
      </c>
      <c r="C496" s="111">
        <v>45389</v>
      </c>
      <c r="D496" s="112">
        <v>2024</v>
      </c>
      <c r="E496" s="104">
        <f t="shared" si="32"/>
        <v>460.85999999999967</v>
      </c>
      <c r="F496" s="102">
        <f t="shared" si="31"/>
        <v>440.85999999999967</v>
      </c>
      <c r="G496" s="103">
        <f t="shared" si="33"/>
        <v>6300</v>
      </c>
      <c r="H496" s="103">
        <f t="shared" si="30"/>
        <v>420</v>
      </c>
    </row>
    <row r="497" spans="1:8" ht="21" x14ac:dyDescent="0.4">
      <c r="A497" s="111" t="s">
        <v>106</v>
      </c>
      <c r="B497" s="112">
        <v>1.5</v>
      </c>
      <c r="C497" s="111">
        <v>45390</v>
      </c>
      <c r="D497" s="112">
        <v>2024</v>
      </c>
      <c r="E497" s="104">
        <f t="shared" si="32"/>
        <v>455.85999999999967</v>
      </c>
      <c r="F497" s="102">
        <f t="shared" si="31"/>
        <v>454.35999999999967</v>
      </c>
      <c r="G497" s="103">
        <f t="shared" si="33"/>
        <v>6315</v>
      </c>
      <c r="H497" s="103">
        <f t="shared" ref="H497:H560" si="34">G497/15</f>
        <v>421</v>
      </c>
    </row>
    <row r="498" spans="1:8" ht="21" x14ac:dyDescent="0.4">
      <c r="A498" s="111" t="s">
        <v>106</v>
      </c>
      <c r="B498" s="112">
        <v>15.3</v>
      </c>
      <c r="C498" s="111">
        <v>45391</v>
      </c>
      <c r="D498" s="112">
        <v>2024</v>
      </c>
      <c r="E498" s="104">
        <f t="shared" si="32"/>
        <v>469.35999999999967</v>
      </c>
      <c r="F498" s="102">
        <f t="shared" si="31"/>
        <v>454.05999999999966</v>
      </c>
      <c r="G498" s="103">
        <f t="shared" si="33"/>
        <v>6330</v>
      </c>
      <c r="H498" s="103">
        <f t="shared" si="34"/>
        <v>422</v>
      </c>
    </row>
    <row r="499" spans="1:8" ht="21" x14ac:dyDescent="0.4">
      <c r="A499" s="111" t="s">
        <v>106</v>
      </c>
      <c r="B499" s="112">
        <v>24.5</v>
      </c>
      <c r="C499" s="111">
        <v>45392</v>
      </c>
      <c r="D499" s="112">
        <v>2024</v>
      </c>
      <c r="E499" s="104">
        <f t="shared" si="32"/>
        <v>469.05999999999966</v>
      </c>
      <c r="F499" s="102">
        <f t="shared" si="31"/>
        <v>444.55999999999966</v>
      </c>
      <c r="G499" s="103">
        <f t="shared" si="33"/>
        <v>6345</v>
      </c>
      <c r="H499" s="103">
        <f t="shared" si="34"/>
        <v>423</v>
      </c>
    </row>
    <row r="500" spans="1:8" ht="21" x14ac:dyDescent="0.4">
      <c r="A500" s="111" t="s">
        <v>106</v>
      </c>
      <c r="B500" s="112">
        <v>27</v>
      </c>
      <c r="C500" s="111">
        <v>45393</v>
      </c>
      <c r="D500" s="112">
        <v>2024</v>
      </c>
      <c r="E500" s="104">
        <f t="shared" si="32"/>
        <v>459.55999999999966</v>
      </c>
      <c r="F500" s="102">
        <f t="shared" si="31"/>
        <v>432.55999999999966</v>
      </c>
      <c r="G500" s="103">
        <f t="shared" si="33"/>
        <v>6360</v>
      </c>
      <c r="H500" s="103">
        <f t="shared" si="34"/>
        <v>424</v>
      </c>
    </row>
    <row r="501" spans="1:8" ht="21" x14ac:dyDescent="0.4">
      <c r="A501" s="111" t="s">
        <v>106</v>
      </c>
      <c r="B501" s="112">
        <v>29</v>
      </c>
      <c r="C501" s="111">
        <v>45394</v>
      </c>
      <c r="D501" s="112">
        <v>2024</v>
      </c>
      <c r="E501" s="104">
        <f t="shared" si="32"/>
        <v>447.55999999999966</v>
      </c>
      <c r="F501" s="102">
        <f t="shared" si="31"/>
        <v>418.55999999999966</v>
      </c>
      <c r="G501" s="103">
        <f t="shared" si="33"/>
        <v>6375</v>
      </c>
      <c r="H501" s="103">
        <f t="shared" si="34"/>
        <v>425</v>
      </c>
    </row>
    <row r="502" spans="1:8" ht="21" x14ac:dyDescent="0.4">
      <c r="A502" s="111" t="s">
        <v>106</v>
      </c>
      <c r="B502" s="112">
        <v>23.5</v>
      </c>
      <c r="C502" s="111">
        <v>45395</v>
      </c>
      <c r="D502" s="112">
        <v>2024</v>
      </c>
      <c r="E502" s="104">
        <f t="shared" si="32"/>
        <v>433.55999999999966</v>
      </c>
      <c r="F502" s="102">
        <f t="shared" si="31"/>
        <v>410.05999999999966</v>
      </c>
      <c r="G502" s="103">
        <f t="shared" si="33"/>
        <v>6390</v>
      </c>
      <c r="H502" s="103">
        <f t="shared" si="34"/>
        <v>426</v>
      </c>
    </row>
    <row r="503" spans="1:8" ht="21" x14ac:dyDescent="0.4">
      <c r="A503" s="111" t="s">
        <v>106</v>
      </c>
      <c r="B503" s="112">
        <v>72</v>
      </c>
      <c r="C503" s="111">
        <v>45396</v>
      </c>
      <c r="D503" s="112">
        <v>2024</v>
      </c>
      <c r="E503" s="104">
        <f t="shared" si="32"/>
        <v>425.05999999999966</v>
      </c>
      <c r="F503" s="102">
        <f t="shared" si="31"/>
        <v>353.05999999999966</v>
      </c>
      <c r="G503" s="103">
        <f t="shared" si="33"/>
        <v>6405</v>
      </c>
      <c r="H503" s="103">
        <f t="shared" si="34"/>
        <v>427</v>
      </c>
    </row>
    <row r="504" spans="1:8" ht="21" x14ac:dyDescent="0.4">
      <c r="A504" s="111" t="s">
        <v>106</v>
      </c>
      <c r="B504" s="112">
        <v>20</v>
      </c>
      <c r="C504" s="111">
        <v>45397</v>
      </c>
      <c r="D504" s="112">
        <v>2024</v>
      </c>
      <c r="E504" s="104">
        <f t="shared" si="32"/>
        <v>368.05999999999966</v>
      </c>
      <c r="F504" s="102">
        <f t="shared" si="31"/>
        <v>348.05999999999966</v>
      </c>
      <c r="G504" s="103">
        <f t="shared" si="33"/>
        <v>6420</v>
      </c>
      <c r="H504" s="103">
        <f t="shared" si="34"/>
        <v>428</v>
      </c>
    </row>
    <row r="505" spans="1:8" ht="21" x14ac:dyDescent="0.4">
      <c r="A505" s="111" t="s">
        <v>106</v>
      </c>
      <c r="B505" s="112">
        <v>28.5</v>
      </c>
      <c r="C505" s="111">
        <v>45398</v>
      </c>
      <c r="D505" s="112">
        <v>2024</v>
      </c>
      <c r="E505" s="104">
        <f t="shared" si="32"/>
        <v>363.05999999999966</v>
      </c>
      <c r="F505" s="102">
        <f t="shared" si="31"/>
        <v>334.55999999999966</v>
      </c>
      <c r="G505" s="103">
        <f t="shared" si="33"/>
        <v>6435</v>
      </c>
      <c r="H505" s="103">
        <f t="shared" si="34"/>
        <v>429</v>
      </c>
    </row>
    <row r="506" spans="1:8" ht="21" x14ac:dyDescent="0.4">
      <c r="A506" s="111" t="s">
        <v>106</v>
      </c>
      <c r="B506" s="112">
        <v>6.5</v>
      </c>
      <c r="C506" s="111">
        <v>45399</v>
      </c>
      <c r="D506" s="112">
        <v>2024</v>
      </c>
      <c r="E506" s="104">
        <f t="shared" si="32"/>
        <v>349.55999999999966</v>
      </c>
      <c r="F506" s="102">
        <f t="shared" si="31"/>
        <v>343.05999999999966</v>
      </c>
      <c r="G506" s="103">
        <f t="shared" si="33"/>
        <v>6450</v>
      </c>
      <c r="H506" s="103">
        <f t="shared" si="34"/>
        <v>430</v>
      </c>
    </row>
    <row r="507" spans="1:8" ht="21" x14ac:dyDescent="0.4">
      <c r="A507" s="111" t="s">
        <v>106</v>
      </c>
      <c r="B507" s="112">
        <v>17</v>
      </c>
      <c r="C507" s="111">
        <v>45400</v>
      </c>
      <c r="D507" s="112">
        <v>2024</v>
      </c>
      <c r="E507" s="104">
        <f t="shared" si="32"/>
        <v>358.05999999999966</v>
      </c>
      <c r="F507" s="102">
        <f t="shared" si="31"/>
        <v>341.05999999999966</v>
      </c>
      <c r="G507" s="103">
        <f t="shared" si="33"/>
        <v>6465</v>
      </c>
      <c r="H507" s="103">
        <f t="shared" si="34"/>
        <v>431</v>
      </c>
    </row>
    <row r="508" spans="1:8" ht="21" x14ac:dyDescent="0.4">
      <c r="A508" s="111" t="s">
        <v>106</v>
      </c>
      <c r="B508" s="112">
        <v>5.5</v>
      </c>
      <c r="C508" s="111">
        <v>45401</v>
      </c>
      <c r="D508" s="112">
        <v>2024</v>
      </c>
      <c r="E508" s="104">
        <f t="shared" si="32"/>
        <v>356.05999999999966</v>
      </c>
      <c r="F508" s="102">
        <f t="shared" si="31"/>
        <v>350.55999999999966</v>
      </c>
      <c r="G508" s="103">
        <f t="shared" si="33"/>
        <v>6480</v>
      </c>
      <c r="H508" s="103">
        <f t="shared" si="34"/>
        <v>432</v>
      </c>
    </row>
    <row r="509" spans="1:8" ht="21" x14ac:dyDescent="0.4">
      <c r="A509" s="111" t="s">
        <v>106</v>
      </c>
      <c r="B509" s="112">
        <v>0</v>
      </c>
      <c r="C509" s="111">
        <v>45402</v>
      </c>
      <c r="D509" s="112">
        <v>2024</v>
      </c>
      <c r="E509" s="104">
        <f t="shared" si="32"/>
        <v>365.55999999999966</v>
      </c>
      <c r="F509" s="102">
        <f t="shared" si="31"/>
        <v>365.55999999999966</v>
      </c>
      <c r="G509" s="103">
        <f t="shared" si="33"/>
        <v>6495</v>
      </c>
      <c r="H509" s="103">
        <f t="shared" si="34"/>
        <v>433</v>
      </c>
    </row>
    <row r="510" spans="1:8" ht="21" x14ac:dyDescent="0.4">
      <c r="A510" s="111" t="s">
        <v>106</v>
      </c>
      <c r="B510" s="112">
        <v>0</v>
      </c>
      <c r="C510" s="111">
        <v>45403</v>
      </c>
      <c r="D510" s="112">
        <v>2024</v>
      </c>
      <c r="E510" s="104">
        <f t="shared" si="32"/>
        <v>380.55999999999966</v>
      </c>
      <c r="F510" s="102">
        <f t="shared" si="31"/>
        <v>380.55999999999966</v>
      </c>
      <c r="G510" s="103">
        <f t="shared" si="33"/>
        <v>6510</v>
      </c>
      <c r="H510" s="103">
        <f t="shared" si="34"/>
        <v>434</v>
      </c>
    </row>
    <row r="511" spans="1:8" ht="21" x14ac:dyDescent="0.4">
      <c r="A511" s="111" t="s">
        <v>106</v>
      </c>
      <c r="B511" s="112">
        <v>50</v>
      </c>
      <c r="C511" s="111">
        <v>45404</v>
      </c>
      <c r="D511" s="112">
        <v>2024</v>
      </c>
      <c r="E511" s="104">
        <f t="shared" si="32"/>
        <v>395.55999999999966</v>
      </c>
      <c r="F511" s="102">
        <f t="shared" si="31"/>
        <v>345.55999999999966</v>
      </c>
      <c r="G511" s="103">
        <f t="shared" si="33"/>
        <v>6525</v>
      </c>
      <c r="H511" s="103">
        <f t="shared" si="34"/>
        <v>435</v>
      </c>
    </row>
    <row r="512" spans="1:8" ht="21" x14ac:dyDescent="0.4">
      <c r="A512" s="111" t="s">
        <v>106</v>
      </c>
      <c r="B512" s="112">
        <v>7.5</v>
      </c>
      <c r="C512" s="111">
        <v>45405</v>
      </c>
      <c r="D512" s="112">
        <v>2024</v>
      </c>
      <c r="E512" s="104">
        <f t="shared" si="32"/>
        <v>360.55999999999966</v>
      </c>
      <c r="F512" s="102">
        <f t="shared" si="31"/>
        <v>353.05999999999966</v>
      </c>
      <c r="G512" s="103">
        <f t="shared" si="33"/>
        <v>6540</v>
      </c>
      <c r="H512" s="103">
        <f t="shared" si="34"/>
        <v>436</v>
      </c>
    </row>
    <row r="513" spans="1:8" ht="21" x14ac:dyDescent="0.4">
      <c r="A513" s="111" t="s">
        <v>106</v>
      </c>
      <c r="B513" s="112">
        <v>21</v>
      </c>
      <c r="C513" s="111">
        <v>45406</v>
      </c>
      <c r="D513" s="112">
        <v>2024</v>
      </c>
      <c r="E513" s="104">
        <f t="shared" si="32"/>
        <v>368.05999999999966</v>
      </c>
      <c r="F513" s="102">
        <f t="shared" si="31"/>
        <v>347.05999999999966</v>
      </c>
      <c r="G513" s="103">
        <f t="shared" si="33"/>
        <v>6555</v>
      </c>
      <c r="H513" s="103">
        <f t="shared" si="34"/>
        <v>437</v>
      </c>
    </row>
    <row r="514" spans="1:8" ht="21" x14ac:dyDescent="0.4">
      <c r="A514" s="111" t="s">
        <v>106</v>
      </c>
      <c r="B514" s="112">
        <v>4.5</v>
      </c>
      <c r="C514" s="111">
        <v>45407</v>
      </c>
      <c r="D514" s="112">
        <v>2024</v>
      </c>
      <c r="E514" s="104">
        <f t="shared" si="32"/>
        <v>362.05999999999966</v>
      </c>
      <c r="F514" s="102">
        <f t="shared" si="31"/>
        <v>357.55999999999966</v>
      </c>
      <c r="G514" s="103">
        <f t="shared" si="33"/>
        <v>6570</v>
      </c>
      <c r="H514" s="103">
        <f t="shared" si="34"/>
        <v>438</v>
      </c>
    </row>
    <row r="515" spans="1:8" ht="21" x14ac:dyDescent="0.4">
      <c r="A515" s="111" t="s">
        <v>106</v>
      </c>
      <c r="B515" s="112">
        <v>7</v>
      </c>
      <c r="C515" s="111">
        <v>45408</v>
      </c>
      <c r="D515" s="112">
        <v>2024</v>
      </c>
      <c r="E515" s="104">
        <f t="shared" si="32"/>
        <v>372.55999999999966</v>
      </c>
      <c r="F515" s="102">
        <f t="shared" ref="F515:F577" si="35">E515-B515</f>
        <v>365.55999999999966</v>
      </c>
      <c r="G515" s="103">
        <f t="shared" si="33"/>
        <v>6585</v>
      </c>
      <c r="H515" s="103">
        <f t="shared" si="34"/>
        <v>439</v>
      </c>
    </row>
    <row r="516" spans="1:8" ht="21" x14ac:dyDescent="0.4">
      <c r="A516" s="111" t="s">
        <v>106</v>
      </c>
      <c r="B516" s="112">
        <v>60</v>
      </c>
      <c r="C516" s="111">
        <v>45409</v>
      </c>
      <c r="D516" s="112">
        <v>2024</v>
      </c>
      <c r="E516" s="104">
        <f t="shared" ref="E516:E577" si="36">IF(C516=C515,F515,F515+15)</f>
        <v>380.55999999999966</v>
      </c>
      <c r="F516" s="102">
        <f t="shared" si="35"/>
        <v>320.55999999999966</v>
      </c>
      <c r="G516" s="103">
        <f t="shared" si="33"/>
        <v>6600</v>
      </c>
      <c r="H516" s="103">
        <f t="shared" si="34"/>
        <v>440</v>
      </c>
    </row>
    <row r="517" spans="1:8" ht="21" x14ac:dyDescent="0.4">
      <c r="A517" s="111" t="s">
        <v>106</v>
      </c>
      <c r="B517" s="112">
        <v>0</v>
      </c>
      <c r="C517" s="111">
        <v>45410</v>
      </c>
      <c r="D517" s="112">
        <v>2024</v>
      </c>
      <c r="E517" s="104">
        <f t="shared" si="36"/>
        <v>335.55999999999966</v>
      </c>
      <c r="F517" s="102">
        <f t="shared" si="35"/>
        <v>335.55999999999966</v>
      </c>
      <c r="G517" s="103">
        <f t="shared" si="33"/>
        <v>6615</v>
      </c>
      <c r="H517" s="103">
        <f t="shared" si="34"/>
        <v>441</v>
      </c>
    </row>
    <row r="518" spans="1:8" ht="21" x14ac:dyDescent="0.4">
      <c r="A518" s="111" t="s">
        <v>106</v>
      </c>
      <c r="B518" s="112">
        <v>14</v>
      </c>
      <c r="C518" s="111">
        <v>45411</v>
      </c>
      <c r="D518" s="112">
        <v>2024</v>
      </c>
      <c r="E518" s="104">
        <f t="shared" si="36"/>
        <v>350.55999999999966</v>
      </c>
      <c r="F518" s="102">
        <f t="shared" si="35"/>
        <v>336.55999999999966</v>
      </c>
      <c r="G518" s="103">
        <f t="shared" si="33"/>
        <v>6630</v>
      </c>
      <c r="H518" s="103">
        <f t="shared" si="34"/>
        <v>442</v>
      </c>
    </row>
    <row r="519" spans="1:8" ht="21" x14ac:dyDescent="0.4">
      <c r="A519" s="111" t="s">
        <v>106</v>
      </c>
      <c r="B519" s="112">
        <v>10</v>
      </c>
      <c r="C519" s="111">
        <v>45412</v>
      </c>
      <c r="D519" s="112">
        <v>2024</v>
      </c>
      <c r="E519" s="104">
        <f t="shared" si="36"/>
        <v>351.55999999999966</v>
      </c>
      <c r="F519" s="102">
        <f t="shared" si="35"/>
        <v>341.55999999999966</v>
      </c>
      <c r="G519" s="103">
        <f t="shared" si="33"/>
        <v>6645</v>
      </c>
      <c r="H519" s="103">
        <f t="shared" si="34"/>
        <v>443</v>
      </c>
    </row>
    <row r="520" spans="1:8" ht="21" x14ac:dyDescent="0.4">
      <c r="A520" s="111" t="s">
        <v>106</v>
      </c>
      <c r="B520" s="112">
        <v>50</v>
      </c>
      <c r="C520" s="111">
        <v>45413</v>
      </c>
      <c r="D520" s="112">
        <v>2024</v>
      </c>
      <c r="E520" s="104">
        <f t="shared" si="36"/>
        <v>356.55999999999966</v>
      </c>
      <c r="F520" s="102">
        <f t="shared" si="35"/>
        <v>306.55999999999966</v>
      </c>
      <c r="G520" s="103">
        <f t="shared" si="33"/>
        <v>6660</v>
      </c>
      <c r="H520" s="103">
        <f t="shared" si="34"/>
        <v>444</v>
      </c>
    </row>
    <row r="521" spans="1:8" ht="21" x14ac:dyDescent="0.4">
      <c r="A521" s="111" t="s">
        <v>106</v>
      </c>
      <c r="B521" s="112">
        <v>5</v>
      </c>
      <c r="C521" s="111">
        <v>45414</v>
      </c>
      <c r="D521" s="112">
        <v>2024</v>
      </c>
      <c r="E521" s="104">
        <f t="shared" si="36"/>
        <v>321.55999999999966</v>
      </c>
      <c r="F521" s="102">
        <f t="shared" si="35"/>
        <v>316.55999999999966</v>
      </c>
      <c r="G521" s="103">
        <f t="shared" si="33"/>
        <v>6675</v>
      </c>
      <c r="H521" s="103">
        <f t="shared" si="34"/>
        <v>445</v>
      </c>
    </row>
    <row r="522" spans="1:8" ht="21" x14ac:dyDescent="0.4">
      <c r="A522" s="111" t="s">
        <v>106</v>
      </c>
      <c r="B522" s="112">
        <v>11</v>
      </c>
      <c r="C522" s="111">
        <v>45415</v>
      </c>
      <c r="D522" s="112">
        <v>2024</v>
      </c>
      <c r="E522" s="104">
        <f t="shared" si="36"/>
        <v>331.55999999999966</v>
      </c>
      <c r="F522" s="102">
        <f t="shared" si="35"/>
        <v>320.55999999999966</v>
      </c>
      <c r="G522" s="103">
        <f t="shared" si="33"/>
        <v>6690</v>
      </c>
      <c r="H522" s="103">
        <f t="shared" si="34"/>
        <v>446</v>
      </c>
    </row>
    <row r="523" spans="1:8" ht="21" x14ac:dyDescent="0.4">
      <c r="A523" s="111" t="s">
        <v>106</v>
      </c>
      <c r="B523" s="112">
        <v>11</v>
      </c>
      <c r="C523" s="111">
        <v>45416</v>
      </c>
      <c r="D523" s="112">
        <v>2024</v>
      </c>
      <c r="E523" s="104">
        <f t="shared" si="36"/>
        <v>335.55999999999966</v>
      </c>
      <c r="F523" s="102">
        <f t="shared" si="35"/>
        <v>324.55999999999966</v>
      </c>
      <c r="G523" s="103">
        <f t="shared" si="33"/>
        <v>6705</v>
      </c>
      <c r="H523" s="103">
        <f t="shared" si="34"/>
        <v>447</v>
      </c>
    </row>
    <row r="524" spans="1:8" ht="21" x14ac:dyDescent="0.4">
      <c r="A524" s="111" t="s">
        <v>106</v>
      </c>
      <c r="B524" s="112">
        <v>47.65</v>
      </c>
      <c r="C524" s="111">
        <v>45417</v>
      </c>
      <c r="D524" s="112">
        <v>2024</v>
      </c>
      <c r="E524" s="104">
        <f t="shared" si="36"/>
        <v>339.55999999999966</v>
      </c>
      <c r="F524" s="102">
        <f t="shared" si="35"/>
        <v>291.90999999999968</v>
      </c>
      <c r="G524" s="103">
        <f t="shared" si="33"/>
        <v>6720</v>
      </c>
      <c r="H524" s="103">
        <f t="shared" si="34"/>
        <v>448</v>
      </c>
    </row>
    <row r="525" spans="1:8" ht="21" x14ac:dyDescent="0.4">
      <c r="A525" s="111" t="s">
        <v>106</v>
      </c>
      <c r="B525" s="112">
        <v>26</v>
      </c>
      <c r="C525" s="111">
        <v>45418</v>
      </c>
      <c r="D525" s="112">
        <v>2024</v>
      </c>
      <c r="E525" s="104">
        <f t="shared" si="36"/>
        <v>306.90999999999968</v>
      </c>
      <c r="F525" s="102">
        <f t="shared" si="35"/>
        <v>280.90999999999968</v>
      </c>
      <c r="G525" s="103">
        <f t="shared" si="33"/>
        <v>6735</v>
      </c>
      <c r="H525" s="103">
        <f t="shared" si="34"/>
        <v>449</v>
      </c>
    </row>
    <row r="526" spans="1:8" ht="21" x14ac:dyDescent="0.4">
      <c r="A526" s="111" t="s">
        <v>106</v>
      </c>
      <c r="B526" s="112">
        <v>100</v>
      </c>
      <c r="C526" s="111">
        <v>45419</v>
      </c>
      <c r="D526" s="112">
        <v>2024</v>
      </c>
      <c r="E526" s="104">
        <f t="shared" si="36"/>
        <v>295.90999999999968</v>
      </c>
      <c r="F526" s="102">
        <f t="shared" si="35"/>
        <v>195.90999999999968</v>
      </c>
      <c r="G526" s="103">
        <f t="shared" si="33"/>
        <v>6750</v>
      </c>
      <c r="H526" s="103">
        <f t="shared" si="34"/>
        <v>450</v>
      </c>
    </row>
    <row r="527" spans="1:8" ht="21" x14ac:dyDescent="0.4">
      <c r="A527" s="111" t="s">
        <v>106</v>
      </c>
      <c r="B527" s="112">
        <v>2.5</v>
      </c>
      <c r="C527" s="111">
        <v>45420</v>
      </c>
      <c r="D527" s="112">
        <v>2024</v>
      </c>
      <c r="E527" s="104">
        <f t="shared" si="36"/>
        <v>210.90999999999968</v>
      </c>
      <c r="F527" s="102">
        <f t="shared" si="35"/>
        <v>208.40999999999968</v>
      </c>
      <c r="G527" s="103">
        <f t="shared" si="33"/>
        <v>6765</v>
      </c>
      <c r="H527" s="103">
        <f t="shared" si="34"/>
        <v>451</v>
      </c>
    </row>
    <row r="528" spans="1:8" ht="21" x14ac:dyDescent="0.4">
      <c r="A528" s="111" t="s">
        <v>106</v>
      </c>
      <c r="B528" s="112">
        <v>16.5</v>
      </c>
      <c r="C528" s="111">
        <v>45421</v>
      </c>
      <c r="D528" s="112">
        <v>2024</v>
      </c>
      <c r="E528" s="104">
        <f t="shared" si="36"/>
        <v>223.40999999999968</v>
      </c>
      <c r="F528" s="102">
        <f t="shared" si="35"/>
        <v>206.90999999999968</v>
      </c>
      <c r="G528" s="103">
        <f t="shared" si="33"/>
        <v>6780</v>
      </c>
      <c r="H528" s="103">
        <f t="shared" si="34"/>
        <v>452</v>
      </c>
    </row>
    <row r="529" spans="1:8" ht="21" x14ac:dyDescent="0.4">
      <c r="A529" s="111" t="s">
        <v>106</v>
      </c>
      <c r="B529" s="112">
        <v>27</v>
      </c>
      <c r="C529" s="111">
        <v>45422</v>
      </c>
      <c r="D529" s="112">
        <v>2024</v>
      </c>
      <c r="E529" s="104">
        <f t="shared" si="36"/>
        <v>221.90999999999968</v>
      </c>
      <c r="F529" s="102">
        <f t="shared" si="35"/>
        <v>194.90999999999968</v>
      </c>
      <c r="G529" s="103">
        <f t="shared" si="33"/>
        <v>6795</v>
      </c>
      <c r="H529" s="103">
        <f t="shared" si="34"/>
        <v>453</v>
      </c>
    </row>
    <row r="530" spans="1:8" ht="21" x14ac:dyDescent="0.4">
      <c r="A530" s="111" t="s">
        <v>106</v>
      </c>
      <c r="B530" s="112">
        <v>2.7</v>
      </c>
      <c r="C530" s="111">
        <v>45423</v>
      </c>
      <c r="D530" s="112">
        <v>2024</v>
      </c>
      <c r="E530" s="104">
        <f t="shared" si="36"/>
        <v>209.90999999999968</v>
      </c>
      <c r="F530" s="102">
        <f t="shared" si="35"/>
        <v>207.2099999999997</v>
      </c>
      <c r="G530" s="103">
        <f t="shared" si="33"/>
        <v>6810</v>
      </c>
      <c r="H530" s="103">
        <f t="shared" si="34"/>
        <v>454</v>
      </c>
    </row>
    <row r="531" spans="1:8" ht="21" x14ac:dyDescent="0.4">
      <c r="A531" s="111" t="s">
        <v>106</v>
      </c>
      <c r="B531" s="112">
        <v>18.5</v>
      </c>
      <c r="C531" s="111">
        <v>45424</v>
      </c>
      <c r="D531" s="112">
        <v>2024</v>
      </c>
      <c r="E531" s="104">
        <f t="shared" si="36"/>
        <v>222.2099999999997</v>
      </c>
      <c r="F531" s="102">
        <f t="shared" si="35"/>
        <v>203.7099999999997</v>
      </c>
      <c r="G531" s="103">
        <f t="shared" ref="G531:G577" si="37">IF(C531&lt;&gt;C530, 15+G530,G530)</f>
        <v>6825</v>
      </c>
      <c r="H531" s="103">
        <f t="shared" si="34"/>
        <v>455</v>
      </c>
    </row>
    <row r="532" spans="1:8" ht="21" x14ac:dyDescent="0.4">
      <c r="A532" s="111" t="s">
        <v>106</v>
      </c>
      <c r="B532" s="112">
        <v>19</v>
      </c>
      <c r="C532" s="111">
        <v>45425</v>
      </c>
      <c r="D532" s="112">
        <v>2024</v>
      </c>
      <c r="E532" s="104">
        <f t="shared" si="36"/>
        <v>218.7099999999997</v>
      </c>
      <c r="F532" s="102">
        <f t="shared" si="35"/>
        <v>199.7099999999997</v>
      </c>
      <c r="G532" s="103">
        <f t="shared" si="37"/>
        <v>6840</v>
      </c>
      <c r="H532" s="103">
        <f t="shared" si="34"/>
        <v>456</v>
      </c>
    </row>
    <row r="533" spans="1:8" ht="21" x14ac:dyDescent="0.4">
      <c r="A533" s="111" t="s">
        <v>106</v>
      </c>
      <c r="B533" s="112">
        <v>18</v>
      </c>
      <c r="C533" s="111">
        <v>45426</v>
      </c>
      <c r="D533" s="112">
        <v>2024</v>
      </c>
      <c r="E533" s="104">
        <f t="shared" si="36"/>
        <v>214.7099999999997</v>
      </c>
      <c r="F533" s="102">
        <f t="shared" si="35"/>
        <v>196.7099999999997</v>
      </c>
      <c r="G533" s="103">
        <f t="shared" si="37"/>
        <v>6855</v>
      </c>
      <c r="H533" s="103">
        <f t="shared" si="34"/>
        <v>457</v>
      </c>
    </row>
    <row r="534" spans="1:8" ht="21" x14ac:dyDescent="0.4">
      <c r="A534" s="111" t="s">
        <v>106</v>
      </c>
      <c r="B534" s="112">
        <v>36</v>
      </c>
      <c r="C534" s="111">
        <v>45427</v>
      </c>
      <c r="D534" s="112">
        <v>2024</v>
      </c>
      <c r="E534" s="104">
        <f t="shared" si="36"/>
        <v>211.7099999999997</v>
      </c>
      <c r="F534" s="102">
        <f t="shared" si="35"/>
        <v>175.7099999999997</v>
      </c>
      <c r="G534" s="103">
        <f t="shared" si="37"/>
        <v>6870</v>
      </c>
      <c r="H534" s="103">
        <f t="shared" si="34"/>
        <v>458</v>
      </c>
    </row>
    <row r="535" spans="1:8" ht="21" x14ac:dyDescent="0.4">
      <c r="A535" s="111" t="s">
        <v>106</v>
      </c>
      <c r="B535" s="112">
        <v>2.7</v>
      </c>
      <c r="C535" s="111">
        <v>45428</v>
      </c>
      <c r="D535" s="112">
        <v>2024</v>
      </c>
      <c r="E535" s="104">
        <f t="shared" si="36"/>
        <v>190.7099999999997</v>
      </c>
      <c r="F535" s="102">
        <f t="shared" si="35"/>
        <v>188.00999999999971</v>
      </c>
      <c r="G535" s="103">
        <f t="shared" si="37"/>
        <v>6885</v>
      </c>
      <c r="H535" s="103">
        <f t="shared" si="34"/>
        <v>459</v>
      </c>
    </row>
    <row r="536" spans="1:8" ht="21" x14ac:dyDescent="0.4">
      <c r="A536" s="111" t="s">
        <v>106</v>
      </c>
      <c r="B536" s="112">
        <v>27</v>
      </c>
      <c r="C536" s="111">
        <v>45429</v>
      </c>
      <c r="D536" s="112">
        <v>2024</v>
      </c>
      <c r="E536" s="104">
        <f t="shared" si="36"/>
        <v>203.00999999999971</v>
      </c>
      <c r="F536" s="102">
        <f t="shared" si="35"/>
        <v>176.00999999999971</v>
      </c>
      <c r="G536" s="103">
        <f t="shared" si="37"/>
        <v>6900</v>
      </c>
      <c r="H536" s="103">
        <f t="shared" si="34"/>
        <v>460</v>
      </c>
    </row>
    <row r="537" spans="1:8" ht="21" x14ac:dyDescent="0.4">
      <c r="A537" s="113" t="s">
        <v>106</v>
      </c>
      <c r="B537" s="114">
        <v>0</v>
      </c>
      <c r="C537" s="111">
        <v>45430</v>
      </c>
      <c r="D537" s="112">
        <v>2024</v>
      </c>
      <c r="E537" s="104">
        <f t="shared" si="36"/>
        <v>191.00999999999971</v>
      </c>
      <c r="F537" s="102">
        <f t="shared" si="35"/>
        <v>191.00999999999971</v>
      </c>
      <c r="G537" s="103">
        <f t="shared" si="37"/>
        <v>6915</v>
      </c>
      <c r="H537" s="103">
        <f t="shared" si="34"/>
        <v>461</v>
      </c>
    </row>
    <row r="538" spans="1:8" ht="21" x14ac:dyDescent="0.4">
      <c r="A538" s="113" t="s">
        <v>106</v>
      </c>
      <c r="B538" s="114">
        <v>45</v>
      </c>
      <c r="C538" s="111">
        <v>45431</v>
      </c>
      <c r="D538" s="112">
        <v>2024</v>
      </c>
      <c r="E538" s="104">
        <f t="shared" si="36"/>
        <v>206.00999999999971</v>
      </c>
      <c r="F538" s="102">
        <f t="shared" si="35"/>
        <v>161.00999999999971</v>
      </c>
      <c r="G538" s="103">
        <f t="shared" si="37"/>
        <v>6930</v>
      </c>
      <c r="H538" s="103">
        <f t="shared" si="34"/>
        <v>462</v>
      </c>
    </row>
    <row r="539" spans="1:8" ht="21" x14ac:dyDescent="0.4">
      <c r="A539" s="113" t="s">
        <v>106</v>
      </c>
      <c r="B539" s="114">
        <v>17.100000000000001</v>
      </c>
      <c r="C539" s="111">
        <v>45432</v>
      </c>
      <c r="D539" s="112">
        <v>2024</v>
      </c>
      <c r="E539" s="104">
        <f t="shared" si="36"/>
        <v>176.00999999999971</v>
      </c>
      <c r="F539" s="102">
        <f t="shared" si="35"/>
        <v>158.90999999999971</v>
      </c>
      <c r="G539" s="103">
        <f t="shared" si="37"/>
        <v>6945</v>
      </c>
      <c r="H539" s="103">
        <f t="shared" si="34"/>
        <v>463</v>
      </c>
    </row>
    <row r="540" spans="1:8" ht="21" x14ac:dyDescent="0.4">
      <c r="A540" s="113" t="s">
        <v>106</v>
      </c>
      <c r="B540" s="114">
        <v>31.25</v>
      </c>
      <c r="C540" s="111">
        <v>45433</v>
      </c>
      <c r="D540" s="112">
        <v>2024</v>
      </c>
      <c r="E540" s="104">
        <f t="shared" si="36"/>
        <v>173.90999999999971</v>
      </c>
      <c r="F540" s="102">
        <f t="shared" si="35"/>
        <v>142.65999999999971</v>
      </c>
      <c r="G540" s="103">
        <f t="shared" si="37"/>
        <v>6960</v>
      </c>
      <c r="H540" s="103">
        <f t="shared" si="34"/>
        <v>464</v>
      </c>
    </row>
    <row r="541" spans="1:8" ht="21" x14ac:dyDescent="0.4">
      <c r="A541" s="113" t="s">
        <v>106</v>
      </c>
      <c r="B541" s="114">
        <v>16</v>
      </c>
      <c r="C541" s="111">
        <v>45434</v>
      </c>
      <c r="D541" s="112">
        <v>2024</v>
      </c>
      <c r="E541" s="104">
        <f t="shared" si="36"/>
        <v>157.65999999999971</v>
      </c>
      <c r="F541" s="102">
        <f t="shared" si="35"/>
        <v>141.65999999999971</v>
      </c>
      <c r="G541" s="103">
        <f t="shared" si="37"/>
        <v>6975</v>
      </c>
      <c r="H541" s="103">
        <f t="shared" si="34"/>
        <v>465</v>
      </c>
    </row>
    <row r="542" spans="1:8" ht="21" x14ac:dyDescent="0.4">
      <c r="A542" s="113" t="s">
        <v>106</v>
      </c>
      <c r="B542" s="114">
        <v>4.7</v>
      </c>
      <c r="C542" s="111">
        <v>45435</v>
      </c>
      <c r="D542" s="112">
        <v>2024</v>
      </c>
      <c r="E542" s="104">
        <f t="shared" si="36"/>
        <v>156.65999999999971</v>
      </c>
      <c r="F542" s="102">
        <f t="shared" si="35"/>
        <v>151.95999999999972</v>
      </c>
      <c r="G542" s="103">
        <f t="shared" si="37"/>
        <v>6990</v>
      </c>
      <c r="H542" s="103">
        <f t="shared" si="34"/>
        <v>466</v>
      </c>
    </row>
    <row r="543" spans="1:8" ht="21" x14ac:dyDescent="0.4">
      <c r="A543" s="113" t="s">
        <v>106</v>
      </c>
      <c r="B543" s="114">
        <v>7.5</v>
      </c>
      <c r="C543" s="111">
        <v>45436</v>
      </c>
      <c r="D543" s="112">
        <v>2024</v>
      </c>
      <c r="E543" s="104">
        <f t="shared" si="36"/>
        <v>166.95999999999972</v>
      </c>
      <c r="F543" s="102">
        <f t="shared" si="35"/>
        <v>159.45999999999972</v>
      </c>
      <c r="G543" s="103">
        <f t="shared" si="37"/>
        <v>7005</v>
      </c>
      <c r="H543" s="103">
        <f t="shared" si="34"/>
        <v>467</v>
      </c>
    </row>
    <row r="544" spans="1:8" ht="21" x14ac:dyDescent="0.4">
      <c r="A544" s="113" t="s">
        <v>106</v>
      </c>
      <c r="B544" s="114">
        <v>34</v>
      </c>
      <c r="C544" s="111">
        <v>45437</v>
      </c>
      <c r="D544" s="112">
        <v>2024</v>
      </c>
      <c r="E544" s="104">
        <f t="shared" si="36"/>
        <v>174.45999999999972</v>
      </c>
      <c r="F544" s="102">
        <f t="shared" si="35"/>
        <v>140.45999999999972</v>
      </c>
      <c r="G544" s="103">
        <f t="shared" si="37"/>
        <v>7020</v>
      </c>
      <c r="H544" s="103">
        <f t="shared" si="34"/>
        <v>468</v>
      </c>
    </row>
    <row r="545" spans="1:8" ht="21" x14ac:dyDescent="0.4">
      <c r="A545" s="113" t="s">
        <v>106</v>
      </c>
      <c r="B545" s="114">
        <v>0</v>
      </c>
      <c r="C545" s="111">
        <v>45438</v>
      </c>
      <c r="D545" s="112">
        <v>2024</v>
      </c>
      <c r="E545" s="104">
        <f t="shared" si="36"/>
        <v>155.45999999999972</v>
      </c>
      <c r="F545" s="102">
        <f t="shared" si="35"/>
        <v>155.45999999999972</v>
      </c>
      <c r="G545" s="103">
        <f t="shared" si="37"/>
        <v>7035</v>
      </c>
      <c r="H545" s="103">
        <f t="shared" si="34"/>
        <v>469</v>
      </c>
    </row>
    <row r="546" spans="1:8" ht="21" x14ac:dyDescent="0.4">
      <c r="A546" s="113" t="s">
        <v>106</v>
      </c>
      <c r="B546" s="114">
        <v>27</v>
      </c>
      <c r="C546" s="111">
        <v>45439</v>
      </c>
      <c r="D546" s="112">
        <v>2024</v>
      </c>
      <c r="E546" s="104">
        <f t="shared" si="36"/>
        <v>170.45999999999972</v>
      </c>
      <c r="F546" s="102">
        <f t="shared" si="35"/>
        <v>143.45999999999972</v>
      </c>
      <c r="G546" s="103">
        <f t="shared" si="37"/>
        <v>7050</v>
      </c>
      <c r="H546" s="103">
        <f t="shared" si="34"/>
        <v>470</v>
      </c>
    </row>
    <row r="547" spans="1:8" ht="21" x14ac:dyDescent="0.4">
      <c r="A547" s="113" t="s">
        <v>106</v>
      </c>
      <c r="B547" s="114">
        <v>28</v>
      </c>
      <c r="C547" s="111">
        <v>45440</v>
      </c>
      <c r="D547" s="112">
        <v>2024</v>
      </c>
      <c r="E547" s="104">
        <f t="shared" si="36"/>
        <v>158.45999999999972</v>
      </c>
      <c r="F547" s="102">
        <f t="shared" si="35"/>
        <v>130.45999999999972</v>
      </c>
      <c r="G547" s="103">
        <f t="shared" si="37"/>
        <v>7065</v>
      </c>
      <c r="H547" s="103">
        <f t="shared" si="34"/>
        <v>471</v>
      </c>
    </row>
    <row r="548" spans="1:8" ht="21" x14ac:dyDescent="0.4">
      <c r="A548" s="113" t="s">
        <v>106</v>
      </c>
      <c r="B548" s="114">
        <v>5.5</v>
      </c>
      <c r="C548" s="111">
        <v>45441</v>
      </c>
      <c r="D548" s="112">
        <v>2024</v>
      </c>
      <c r="E548" s="104">
        <f t="shared" si="36"/>
        <v>145.45999999999972</v>
      </c>
      <c r="F548" s="102">
        <f t="shared" si="35"/>
        <v>139.95999999999972</v>
      </c>
      <c r="G548" s="103">
        <f t="shared" si="37"/>
        <v>7080</v>
      </c>
      <c r="H548" s="103">
        <f t="shared" si="34"/>
        <v>472</v>
      </c>
    </row>
    <row r="549" spans="1:8" ht="21" x14ac:dyDescent="0.4">
      <c r="A549" s="113" t="s">
        <v>106</v>
      </c>
      <c r="B549" s="114">
        <v>35</v>
      </c>
      <c r="C549" s="111">
        <v>45442</v>
      </c>
      <c r="D549" s="112">
        <v>2024</v>
      </c>
      <c r="E549" s="104">
        <f t="shared" si="36"/>
        <v>154.95999999999972</v>
      </c>
      <c r="F549" s="102">
        <f t="shared" si="35"/>
        <v>119.95999999999972</v>
      </c>
      <c r="G549" s="103">
        <f t="shared" si="37"/>
        <v>7095</v>
      </c>
      <c r="H549" s="103">
        <f t="shared" si="34"/>
        <v>473</v>
      </c>
    </row>
    <row r="550" spans="1:8" ht="21" x14ac:dyDescent="0.4">
      <c r="A550" s="113" t="s">
        <v>106</v>
      </c>
      <c r="B550" s="114">
        <v>8.5</v>
      </c>
      <c r="C550" s="111">
        <v>45443</v>
      </c>
      <c r="D550" s="112">
        <v>2024</v>
      </c>
      <c r="E550" s="104">
        <f t="shared" si="36"/>
        <v>134.95999999999972</v>
      </c>
      <c r="F550" s="102">
        <f t="shared" si="35"/>
        <v>126.45999999999972</v>
      </c>
      <c r="G550" s="103">
        <f t="shared" si="37"/>
        <v>7110</v>
      </c>
      <c r="H550" s="103">
        <f t="shared" si="34"/>
        <v>474</v>
      </c>
    </row>
    <row r="551" spans="1:8" ht="21" x14ac:dyDescent="0.4">
      <c r="A551" s="113" t="s">
        <v>106</v>
      </c>
      <c r="B551" s="114">
        <v>0</v>
      </c>
      <c r="C551" s="111">
        <v>45444</v>
      </c>
      <c r="D551" s="112">
        <v>2024</v>
      </c>
      <c r="E551" s="104">
        <f t="shared" si="36"/>
        <v>141.45999999999972</v>
      </c>
      <c r="F551" s="102">
        <f t="shared" si="35"/>
        <v>141.45999999999972</v>
      </c>
      <c r="G551" s="103">
        <f t="shared" si="37"/>
        <v>7125</v>
      </c>
      <c r="H551" s="103">
        <f t="shared" si="34"/>
        <v>475</v>
      </c>
    </row>
    <row r="552" spans="1:8" ht="21" x14ac:dyDescent="0.4">
      <c r="A552" s="113" t="s">
        <v>106</v>
      </c>
      <c r="B552" s="114">
        <v>16.100000000000001</v>
      </c>
      <c r="C552" s="111">
        <v>45445</v>
      </c>
      <c r="D552" s="112">
        <v>2024</v>
      </c>
      <c r="E552" s="104">
        <f t="shared" si="36"/>
        <v>156.45999999999972</v>
      </c>
      <c r="F552" s="102">
        <f t="shared" si="35"/>
        <v>140.35999999999973</v>
      </c>
      <c r="G552" s="103">
        <f t="shared" si="37"/>
        <v>7140</v>
      </c>
      <c r="H552" s="103">
        <f t="shared" si="34"/>
        <v>476</v>
      </c>
    </row>
    <row r="553" spans="1:8" ht="21" x14ac:dyDescent="0.4">
      <c r="A553" s="113" t="s">
        <v>106</v>
      </c>
      <c r="B553" s="114">
        <v>32</v>
      </c>
      <c r="C553" s="111">
        <v>45446</v>
      </c>
      <c r="D553" s="112">
        <v>2024</v>
      </c>
      <c r="E553" s="104">
        <f t="shared" si="36"/>
        <v>155.35999999999973</v>
      </c>
      <c r="F553" s="102">
        <f t="shared" si="35"/>
        <v>123.35999999999973</v>
      </c>
      <c r="G553" s="103">
        <f t="shared" si="37"/>
        <v>7155</v>
      </c>
      <c r="H553" s="103">
        <f t="shared" si="34"/>
        <v>477</v>
      </c>
    </row>
    <row r="554" spans="1:8" ht="21" x14ac:dyDescent="0.4">
      <c r="A554" s="113" t="s">
        <v>106</v>
      </c>
      <c r="B554" s="114">
        <v>34</v>
      </c>
      <c r="C554" s="111">
        <v>45447</v>
      </c>
      <c r="D554" s="112">
        <v>2024</v>
      </c>
      <c r="E554" s="104">
        <f t="shared" si="36"/>
        <v>138.35999999999973</v>
      </c>
      <c r="F554" s="102">
        <f t="shared" si="35"/>
        <v>104.35999999999973</v>
      </c>
      <c r="G554" s="103">
        <f t="shared" si="37"/>
        <v>7170</v>
      </c>
      <c r="H554" s="103">
        <f t="shared" si="34"/>
        <v>478</v>
      </c>
    </row>
    <row r="555" spans="1:8" ht="21" x14ac:dyDescent="0.4">
      <c r="A555" s="113" t="s">
        <v>106</v>
      </c>
      <c r="B555" s="114">
        <v>21</v>
      </c>
      <c r="C555" s="111">
        <v>45448</v>
      </c>
      <c r="D555" s="112">
        <v>2024</v>
      </c>
      <c r="E555" s="104">
        <f t="shared" si="36"/>
        <v>119.35999999999973</v>
      </c>
      <c r="F555" s="102">
        <f t="shared" si="35"/>
        <v>98.359999999999729</v>
      </c>
      <c r="G555" s="103">
        <f t="shared" si="37"/>
        <v>7185</v>
      </c>
      <c r="H555" s="103">
        <f t="shared" si="34"/>
        <v>479</v>
      </c>
    </row>
    <row r="556" spans="1:8" ht="21" x14ac:dyDescent="0.4">
      <c r="A556" s="113" t="s">
        <v>106</v>
      </c>
      <c r="B556" s="114">
        <v>17</v>
      </c>
      <c r="C556" s="111">
        <v>45449</v>
      </c>
      <c r="D556" s="112">
        <v>2024</v>
      </c>
      <c r="E556" s="104">
        <f t="shared" si="36"/>
        <v>113.35999999999973</v>
      </c>
      <c r="F556" s="102">
        <f t="shared" si="35"/>
        <v>96.359999999999729</v>
      </c>
      <c r="G556" s="103">
        <f t="shared" si="37"/>
        <v>7200</v>
      </c>
      <c r="H556" s="103">
        <f t="shared" si="34"/>
        <v>480</v>
      </c>
    </row>
    <row r="557" spans="1:8" ht="21" x14ac:dyDescent="0.4">
      <c r="A557" s="113" t="s">
        <v>106</v>
      </c>
      <c r="B557" s="114">
        <v>6</v>
      </c>
      <c r="C557" s="111">
        <v>45450</v>
      </c>
      <c r="D557" s="112">
        <v>2024</v>
      </c>
      <c r="E557" s="104">
        <f t="shared" si="36"/>
        <v>111.35999999999973</v>
      </c>
      <c r="F557" s="102">
        <f t="shared" si="35"/>
        <v>105.35999999999973</v>
      </c>
      <c r="G557" s="103">
        <f t="shared" si="37"/>
        <v>7215</v>
      </c>
      <c r="H557" s="103">
        <f t="shared" si="34"/>
        <v>481</v>
      </c>
    </row>
    <row r="558" spans="1:8" ht="21" x14ac:dyDescent="0.4">
      <c r="A558" s="113" t="s">
        <v>106</v>
      </c>
      <c r="B558" s="114">
        <v>12.5</v>
      </c>
      <c r="C558" s="111">
        <v>45451</v>
      </c>
      <c r="D558" s="112">
        <v>2024</v>
      </c>
      <c r="E558" s="104">
        <f t="shared" si="36"/>
        <v>120.35999999999973</v>
      </c>
      <c r="F558" s="102">
        <f t="shared" si="35"/>
        <v>107.85999999999973</v>
      </c>
      <c r="G558" s="103">
        <f t="shared" si="37"/>
        <v>7230</v>
      </c>
      <c r="H558" s="103">
        <f t="shared" si="34"/>
        <v>482</v>
      </c>
    </row>
    <row r="559" spans="1:8" ht="21" x14ac:dyDescent="0.4">
      <c r="A559" s="113" t="s">
        <v>106</v>
      </c>
      <c r="B559" s="114">
        <v>12.5</v>
      </c>
      <c r="C559" s="111">
        <v>45452</v>
      </c>
      <c r="D559" s="112">
        <v>2024</v>
      </c>
      <c r="E559" s="104">
        <f t="shared" si="36"/>
        <v>122.85999999999973</v>
      </c>
      <c r="F559" s="102">
        <f t="shared" si="35"/>
        <v>110.35999999999973</v>
      </c>
      <c r="G559" s="103">
        <f t="shared" si="37"/>
        <v>7245</v>
      </c>
      <c r="H559" s="103">
        <f t="shared" si="34"/>
        <v>483</v>
      </c>
    </row>
    <row r="560" spans="1:8" ht="21" x14ac:dyDescent="0.4">
      <c r="A560" s="113" t="s">
        <v>106</v>
      </c>
      <c r="B560" s="114">
        <v>28</v>
      </c>
      <c r="C560" s="111">
        <v>45453</v>
      </c>
      <c r="D560" s="112">
        <v>2024</v>
      </c>
      <c r="E560" s="104">
        <f t="shared" si="36"/>
        <v>125.35999999999973</v>
      </c>
      <c r="F560" s="102">
        <f t="shared" si="35"/>
        <v>97.359999999999729</v>
      </c>
      <c r="G560" s="103">
        <f t="shared" si="37"/>
        <v>7260</v>
      </c>
      <c r="H560" s="103">
        <f t="shared" si="34"/>
        <v>484</v>
      </c>
    </row>
    <row r="561" spans="1:8" ht="21" x14ac:dyDescent="0.4">
      <c r="A561" s="113" t="s">
        <v>106</v>
      </c>
      <c r="B561" s="114">
        <v>37</v>
      </c>
      <c r="C561" s="111">
        <v>45454</v>
      </c>
      <c r="D561" s="112">
        <v>2024</v>
      </c>
      <c r="E561" s="104">
        <f t="shared" si="36"/>
        <v>112.35999999999973</v>
      </c>
      <c r="F561" s="102">
        <f t="shared" si="35"/>
        <v>75.359999999999729</v>
      </c>
      <c r="G561" s="103">
        <f t="shared" si="37"/>
        <v>7275</v>
      </c>
      <c r="H561" s="103">
        <f t="shared" ref="H561:H577" si="38">G561/15</f>
        <v>485</v>
      </c>
    </row>
    <row r="562" spans="1:8" ht="21" x14ac:dyDescent="0.4">
      <c r="A562" s="113" t="s">
        <v>106</v>
      </c>
      <c r="B562" s="114">
        <v>11</v>
      </c>
      <c r="C562" s="111">
        <v>45455</v>
      </c>
      <c r="D562" s="112">
        <v>2024</v>
      </c>
      <c r="E562" s="104">
        <f t="shared" si="36"/>
        <v>90.359999999999729</v>
      </c>
      <c r="F562" s="102">
        <f t="shared" si="35"/>
        <v>79.359999999999729</v>
      </c>
      <c r="G562" s="103">
        <f t="shared" si="37"/>
        <v>7290</v>
      </c>
      <c r="H562" s="103">
        <f t="shared" si="38"/>
        <v>486</v>
      </c>
    </row>
    <row r="563" spans="1:8" ht="21" x14ac:dyDescent="0.4">
      <c r="A563" s="113" t="s">
        <v>106</v>
      </c>
      <c r="B563" s="114">
        <v>20</v>
      </c>
      <c r="C563" s="111">
        <v>45456</v>
      </c>
      <c r="D563" s="112">
        <v>2024</v>
      </c>
      <c r="E563" s="104">
        <f t="shared" si="36"/>
        <v>94.359999999999729</v>
      </c>
      <c r="F563" s="102">
        <f t="shared" si="35"/>
        <v>74.359999999999729</v>
      </c>
      <c r="G563" s="103">
        <f t="shared" si="37"/>
        <v>7305</v>
      </c>
      <c r="H563" s="103">
        <f t="shared" si="38"/>
        <v>487</v>
      </c>
    </row>
    <row r="564" spans="1:8" ht="21" x14ac:dyDescent="0.4">
      <c r="A564" s="113" t="s">
        <v>106</v>
      </c>
      <c r="B564" s="114">
        <v>9</v>
      </c>
      <c r="C564" s="111">
        <v>45457</v>
      </c>
      <c r="D564" s="112">
        <v>2024</v>
      </c>
      <c r="E564" s="104">
        <f t="shared" si="36"/>
        <v>89.359999999999729</v>
      </c>
      <c r="F564" s="102">
        <f t="shared" si="35"/>
        <v>80.359999999999729</v>
      </c>
      <c r="G564" s="103">
        <f t="shared" si="37"/>
        <v>7320</v>
      </c>
      <c r="H564" s="103">
        <f t="shared" si="38"/>
        <v>488</v>
      </c>
    </row>
    <row r="565" spans="1:8" ht="21" x14ac:dyDescent="0.4">
      <c r="A565" s="113" t="s">
        <v>106</v>
      </c>
      <c r="B565" s="114">
        <v>8.5</v>
      </c>
      <c r="C565" s="111">
        <v>45458</v>
      </c>
      <c r="D565" s="112">
        <v>2024</v>
      </c>
      <c r="E565" s="104">
        <f t="shared" si="36"/>
        <v>95.359999999999729</v>
      </c>
      <c r="F565" s="102">
        <f t="shared" si="35"/>
        <v>86.859999999999729</v>
      </c>
      <c r="G565" s="103">
        <f t="shared" si="37"/>
        <v>7335</v>
      </c>
      <c r="H565" s="103">
        <f t="shared" si="38"/>
        <v>489</v>
      </c>
    </row>
    <row r="566" spans="1:8" ht="21" x14ac:dyDescent="0.4">
      <c r="A566" s="113" t="s">
        <v>106</v>
      </c>
      <c r="B566" s="114">
        <v>22.5</v>
      </c>
      <c r="C566" s="111">
        <v>45459</v>
      </c>
      <c r="D566" s="112">
        <v>2024</v>
      </c>
      <c r="E566" s="104">
        <f t="shared" si="36"/>
        <v>101.85999999999973</v>
      </c>
      <c r="F566" s="102">
        <f t="shared" si="35"/>
        <v>79.359999999999729</v>
      </c>
      <c r="G566" s="103">
        <f t="shared" si="37"/>
        <v>7350</v>
      </c>
      <c r="H566" s="103">
        <f t="shared" si="38"/>
        <v>490</v>
      </c>
    </row>
    <row r="567" spans="1:8" ht="21" x14ac:dyDescent="0.4">
      <c r="A567" s="113" t="s">
        <v>106</v>
      </c>
      <c r="B567" s="114">
        <v>31.5</v>
      </c>
      <c r="C567" s="111">
        <v>45460</v>
      </c>
      <c r="D567" s="112">
        <v>2024</v>
      </c>
      <c r="E567" s="104">
        <f t="shared" si="36"/>
        <v>94.359999999999729</v>
      </c>
      <c r="F567" s="102">
        <f t="shared" si="35"/>
        <v>62.859999999999729</v>
      </c>
      <c r="G567" s="103">
        <f t="shared" si="37"/>
        <v>7365</v>
      </c>
      <c r="H567" s="103">
        <f t="shared" si="38"/>
        <v>491</v>
      </c>
    </row>
    <row r="568" spans="1:8" ht="21" x14ac:dyDescent="0.4">
      <c r="A568" s="113" t="s">
        <v>106</v>
      </c>
      <c r="B568" s="114">
        <v>14.9</v>
      </c>
      <c r="C568" s="111">
        <v>45461</v>
      </c>
      <c r="D568" s="112">
        <v>2024</v>
      </c>
      <c r="E568" s="104">
        <f t="shared" si="36"/>
        <v>77.859999999999729</v>
      </c>
      <c r="F568" s="102">
        <f t="shared" si="35"/>
        <v>62.959999999999731</v>
      </c>
      <c r="G568" s="103">
        <f t="shared" si="37"/>
        <v>7380</v>
      </c>
      <c r="H568" s="103">
        <f t="shared" si="38"/>
        <v>492</v>
      </c>
    </row>
    <row r="569" spans="1:8" ht="21" x14ac:dyDescent="0.4">
      <c r="A569" s="113" t="s">
        <v>106</v>
      </c>
      <c r="B569" s="114">
        <v>10</v>
      </c>
      <c r="C569" s="111">
        <v>45462</v>
      </c>
      <c r="D569" s="112">
        <v>2024</v>
      </c>
      <c r="E569" s="104">
        <f t="shared" si="36"/>
        <v>77.959999999999724</v>
      </c>
      <c r="F569" s="102">
        <f t="shared" si="35"/>
        <v>67.959999999999724</v>
      </c>
      <c r="G569" s="103">
        <f t="shared" si="37"/>
        <v>7395</v>
      </c>
      <c r="H569" s="103">
        <f t="shared" si="38"/>
        <v>493</v>
      </c>
    </row>
    <row r="570" spans="1:8" ht="21" x14ac:dyDescent="0.4">
      <c r="A570" s="113" t="s">
        <v>106</v>
      </c>
      <c r="B570" s="114">
        <v>14.5</v>
      </c>
      <c r="C570" s="111">
        <v>45463</v>
      </c>
      <c r="D570" s="112">
        <v>2024</v>
      </c>
      <c r="E570" s="104">
        <f t="shared" si="36"/>
        <v>82.959999999999724</v>
      </c>
      <c r="F570" s="102">
        <f t="shared" si="35"/>
        <v>68.459999999999724</v>
      </c>
      <c r="G570" s="103">
        <f t="shared" si="37"/>
        <v>7410</v>
      </c>
      <c r="H570" s="103">
        <f t="shared" si="38"/>
        <v>494</v>
      </c>
    </row>
    <row r="571" spans="1:8" ht="21" x14ac:dyDescent="0.4">
      <c r="A571" s="113" t="s">
        <v>106</v>
      </c>
      <c r="B571" s="114">
        <v>17</v>
      </c>
      <c r="C571" s="111">
        <v>45464</v>
      </c>
      <c r="D571" s="112">
        <v>2024</v>
      </c>
      <c r="E571" s="104">
        <f t="shared" si="36"/>
        <v>83.459999999999724</v>
      </c>
      <c r="F571" s="102">
        <f t="shared" si="35"/>
        <v>66.459999999999724</v>
      </c>
      <c r="G571" s="103">
        <f t="shared" si="37"/>
        <v>7425</v>
      </c>
      <c r="H571" s="103">
        <f t="shared" si="38"/>
        <v>495</v>
      </c>
    </row>
    <row r="572" spans="1:8" ht="21" x14ac:dyDescent="0.4">
      <c r="A572" s="113" t="s">
        <v>106</v>
      </c>
      <c r="B572" s="114">
        <v>7</v>
      </c>
      <c r="C572" s="111">
        <v>45465</v>
      </c>
      <c r="D572" s="112">
        <v>2024</v>
      </c>
      <c r="E572" s="104">
        <f t="shared" si="36"/>
        <v>81.459999999999724</v>
      </c>
      <c r="F572" s="102">
        <f t="shared" si="35"/>
        <v>74.459999999999724</v>
      </c>
      <c r="G572" s="103">
        <f t="shared" si="37"/>
        <v>7440</v>
      </c>
      <c r="H572" s="103">
        <f t="shared" si="38"/>
        <v>496</v>
      </c>
    </row>
    <row r="573" spans="1:8" ht="21" x14ac:dyDescent="0.4">
      <c r="A573" s="113" t="s">
        <v>106</v>
      </c>
      <c r="B573" s="114">
        <v>0</v>
      </c>
      <c r="C573" s="111">
        <v>45466</v>
      </c>
      <c r="D573" s="112">
        <v>2024</v>
      </c>
      <c r="E573" s="104">
        <f t="shared" si="36"/>
        <v>89.459999999999724</v>
      </c>
      <c r="F573" s="102">
        <f t="shared" si="35"/>
        <v>89.459999999999724</v>
      </c>
      <c r="G573" s="103">
        <f t="shared" si="37"/>
        <v>7455</v>
      </c>
      <c r="H573" s="103">
        <f t="shared" si="38"/>
        <v>497</v>
      </c>
    </row>
    <row r="574" spans="1:8" ht="21" x14ac:dyDescent="0.4">
      <c r="A574" s="113" t="s">
        <v>106</v>
      </c>
      <c r="B574" s="114">
        <v>75</v>
      </c>
      <c r="C574" s="111">
        <v>45467</v>
      </c>
      <c r="D574" s="112">
        <v>2024</v>
      </c>
      <c r="E574" s="104">
        <f t="shared" si="36"/>
        <v>104.45999999999972</v>
      </c>
      <c r="F574" s="102">
        <f t="shared" si="35"/>
        <v>29.459999999999724</v>
      </c>
      <c r="G574" s="103">
        <f t="shared" si="37"/>
        <v>7470</v>
      </c>
      <c r="H574" s="103">
        <f t="shared" si="38"/>
        <v>498</v>
      </c>
    </row>
    <row r="575" spans="1:8" ht="21" x14ac:dyDescent="0.4">
      <c r="A575" s="113" t="s">
        <v>106</v>
      </c>
      <c r="B575" s="114">
        <v>0</v>
      </c>
      <c r="C575" s="111">
        <v>45468</v>
      </c>
      <c r="D575" s="112">
        <v>2024</v>
      </c>
      <c r="E575" s="104">
        <f t="shared" si="36"/>
        <v>44.459999999999724</v>
      </c>
      <c r="F575" s="102">
        <f t="shared" si="35"/>
        <v>44.459999999999724</v>
      </c>
      <c r="G575" s="103">
        <f t="shared" si="37"/>
        <v>7485</v>
      </c>
      <c r="H575" s="103">
        <f t="shared" si="38"/>
        <v>499</v>
      </c>
    </row>
    <row r="576" spans="1:8" ht="21" x14ac:dyDescent="0.4">
      <c r="A576" s="113" t="s">
        <v>106</v>
      </c>
      <c r="B576" s="114">
        <v>21.5</v>
      </c>
      <c r="C576" s="111">
        <v>45469</v>
      </c>
      <c r="D576" s="112">
        <v>2024</v>
      </c>
      <c r="E576" s="104">
        <f t="shared" si="36"/>
        <v>59.459999999999724</v>
      </c>
      <c r="F576" s="102">
        <f t="shared" si="35"/>
        <v>37.959999999999724</v>
      </c>
      <c r="G576" s="103">
        <f t="shared" si="37"/>
        <v>7500</v>
      </c>
      <c r="H576" s="103">
        <f t="shared" si="38"/>
        <v>500</v>
      </c>
    </row>
    <row r="577" spans="1:8" ht="21" x14ac:dyDescent="0.4">
      <c r="A577" s="113" t="s">
        <v>106</v>
      </c>
      <c r="B577" s="114">
        <v>7</v>
      </c>
      <c r="C577" s="111">
        <v>45470</v>
      </c>
      <c r="D577" s="112">
        <v>2024</v>
      </c>
      <c r="E577" s="104">
        <f t="shared" si="36"/>
        <v>52.959999999999724</v>
      </c>
      <c r="F577" s="102">
        <f t="shared" si="35"/>
        <v>45.959999999999724</v>
      </c>
      <c r="G577" s="103">
        <f t="shared" si="37"/>
        <v>7515</v>
      </c>
      <c r="H577" s="103">
        <f t="shared" si="38"/>
        <v>501</v>
      </c>
    </row>
    <row r="578" spans="1:8" ht="21" x14ac:dyDescent="0.4">
      <c r="A578" s="113" t="s">
        <v>106</v>
      </c>
      <c r="B578" s="114">
        <v>7</v>
      </c>
      <c r="C578" s="111">
        <v>45471</v>
      </c>
      <c r="D578" s="112">
        <v>2024</v>
      </c>
      <c r="E578" s="104">
        <f t="shared" ref="E578:E579" si="39">IF(C578=C577,F577,F577+15)</f>
        <v>60.959999999999724</v>
      </c>
      <c r="F578" s="102">
        <f t="shared" ref="F578:F579" si="40">E578-B578</f>
        <v>53.959999999999724</v>
      </c>
      <c r="G578" s="103">
        <f t="shared" ref="G578:G579" si="41">IF(C578&lt;&gt;C577, 15+G577,G577)</f>
        <v>7530</v>
      </c>
      <c r="H578" s="103">
        <f t="shared" ref="H578:H579" si="42">G578/15</f>
        <v>502</v>
      </c>
    </row>
    <row r="579" spans="1:8" ht="21" x14ac:dyDescent="0.4">
      <c r="A579" s="113" t="s">
        <v>106</v>
      </c>
      <c r="B579" s="114">
        <v>0</v>
      </c>
      <c r="C579" s="111">
        <v>45472</v>
      </c>
      <c r="D579" s="112">
        <v>2024</v>
      </c>
      <c r="E579" s="104">
        <f t="shared" si="39"/>
        <v>68.959999999999724</v>
      </c>
      <c r="F579" s="102">
        <f t="shared" si="40"/>
        <v>68.959999999999724</v>
      </c>
      <c r="G579" s="103">
        <f t="shared" si="41"/>
        <v>7545</v>
      </c>
      <c r="H579" s="103">
        <f t="shared" si="42"/>
        <v>503</v>
      </c>
    </row>
    <row r="580" spans="1:8" ht="21" x14ac:dyDescent="0.4">
      <c r="A580" s="115" t="s">
        <v>22</v>
      </c>
      <c r="B580" s="116">
        <f>SUM(B2:B579)</f>
        <v>7476.0399999999981</v>
      </c>
      <c r="C580" s="45"/>
      <c r="D580" s="45"/>
      <c r="E580" s="45"/>
      <c r="F580" s="45"/>
      <c r="G580" s="117" t="s">
        <v>122</v>
      </c>
      <c r="H580" s="118">
        <f>B580/H579</f>
        <v>14.862902584493039</v>
      </c>
    </row>
  </sheetData>
  <conditionalFormatting sqref="B1:B580">
    <cfRule type="cellIs" dxfId="3" priority="1" operator="between">
      <formula>10.01</formula>
      <formula>14.99</formula>
    </cfRule>
    <cfRule type="cellIs" dxfId="2" priority="2" operator="lessThan">
      <formula>10</formula>
    </cfRule>
    <cfRule type="cellIs" dxfId="1" priority="3" operator="lessThan">
      <formula>5</formula>
    </cfRule>
    <cfRule type="cellIs" dxfId="0" priority="4" operator="greaterThan">
      <formula>15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AE2E7-17DE-4D52-B268-F807E5C09E1F}">
  <sheetPr>
    <tabColor rgb="FFFF0000"/>
  </sheetPr>
  <dimension ref="A1:B94"/>
  <sheetViews>
    <sheetView topLeftCell="A68" zoomScale="95" workbookViewId="0">
      <selection activeCell="P72" sqref="P72"/>
    </sheetView>
  </sheetViews>
  <sheetFormatPr defaultRowHeight="14.4" x14ac:dyDescent="0.3"/>
  <cols>
    <col min="1" max="2" width="12.77734375" bestFit="1" customWidth="1"/>
    <col min="3" max="3" width="18.21875" bestFit="1" customWidth="1"/>
  </cols>
  <sheetData>
    <row r="1" spans="1:2" x14ac:dyDescent="0.3">
      <c r="A1" s="126" t="s">
        <v>124</v>
      </c>
      <c r="B1" t="s">
        <v>126</v>
      </c>
    </row>
    <row r="2" spans="1:2" x14ac:dyDescent="0.3">
      <c r="A2" s="127" t="s">
        <v>106</v>
      </c>
      <c r="B2">
        <v>12375</v>
      </c>
    </row>
    <row r="3" spans="1:2" x14ac:dyDescent="0.3">
      <c r="A3" s="127" t="s">
        <v>14</v>
      </c>
      <c r="B3">
        <v>12375</v>
      </c>
    </row>
    <row r="4" spans="1:2" x14ac:dyDescent="0.3">
      <c r="A4" s="127" t="s">
        <v>108</v>
      </c>
      <c r="B4">
        <v>27500</v>
      </c>
    </row>
    <row r="5" spans="1:2" x14ac:dyDescent="0.3">
      <c r="A5" s="127" t="s">
        <v>85</v>
      </c>
      <c r="B5">
        <v>59583.333333333328</v>
      </c>
    </row>
    <row r="6" spans="1:2" x14ac:dyDescent="0.3">
      <c r="A6" s="127" t="s">
        <v>24</v>
      </c>
      <c r="B6">
        <v>143000</v>
      </c>
    </row>
    <row r="7" spans="1:2" x14ac:dyDescent="0.3">
      <c r="A7" s="127" t="s">
        <v>125</v>
      </c>
      <c r="B7">
        <v>254833.33333333331</v>
      </c>
    </row>
    <row r="19" spans="1:2" x14ac:dyDescent="0.3">
      <c r="A19" s="126" t="s">
        <v>124</v>
      </c>
      <c r="B19" t="s">
        <v>130</v>
      </c>
    </row>
    <row r="20" spans="1:2" x14ac:dyDescent="0.3">
      <c r="A20" s="127" t="s">
        <v>129</v>
      </c>
      <c r="B20">
        <v>0</v>
      </c>
    </row>
    <row r="21" spans="1:2" x14ac:dyDescent="0.3">
      <c r="A21" s="128" t="s">
        <v>131</v>
      </c>
      <c r="B21">
        <v>0</v>
      </c>
    </row>
    <row r="22" spans="1:2" x14ac:dyDescent="0.3">
      <c r="A22" s="127" t="s">
        <v>127</v>
      </c>
      <c r="B22">
        <v>11597.34</v>
      </c>
    </row>
    <row r="23" spans="1:2" x14ac:dyDescent="0.3">
      <c r="A23" s="128" t="s">
        <v>132</v>
      </c>
      <c r="B23">
        <v>516.79999999999995</v>
      </c>
    </row>
    <row r="24" spans="1:2" x14ac:dyDescent="0.3">
      <c r="A24" s="128" t="s">
        <v>133</v>
      </c>
      <c r="B24">
        <v>81.3</v>
      </c>
    </row>
    <row r="25" spans="1:2" x14ac:dyDescent="0.3">
      <c r="A25" s="128" t="s">
        <v>134</v>
      </c>
      <c r="B25">
        <v>1028.7800000000002</v>
      </c>
    </row>
    <row r="26" spans="1:2" x14ac:dyDescent="0.3">
      <c r="A26" s="128" t="s">
        <v>135</v>
      </c>
      <c r="B26">
        <v>859.49</v>
      </c>
    </row>
    <row r="27" spans="1:2" x14ac:dyDescent="0.3">
      <c r="A27" s="128" t="s">
        <v>136</v>
      </c>
      <c r="B27">
        <v>898.74</v>
      </c>
    </row>
    <row r="28" spans="1:2" x14ac:dyDescent="0.3">
      <c r="A28" s="128" t="s">
        <v>137</v>
      </c>
      <c r="B28">
        <v>951.5</v>
      </c>
    </row>
    <row r="29" spans="1:2" x14ac:dyDescent="0.3">
      <c r="A29" s="128" t="s">
        <v>138</v>
      </c>
      <c r="B29">
        <v>1437.08</v>
      </c>
    </row>
    <row r="30" spans="1:2" x14ac:dyDescent="0.3">
      <c r="A30" s="128" t="s">
        <v>139</v>
      </c>
      <c r="B30">
        <v>885.2</v>
      </c>
    </row>
    <row r="31" spans="1:2" x14ac:dyDescent="0.3">
      <c r="A31" s="128" t="s">
        <v>131</v>
      </c>
      <c r="B31">
        <v>1005.45</v>
      </c>
    </row>
    <row r="32" spans="1:2" x14ac:dyDescent="0.3">
      <c r="A32" s="128" t="s">
        <v>140</v>
      </c>
      <c r="B32">
        <v>2637</v>
      </c>
    </row>
    <row r="33" spans="1:2" x14ac:dyDescent="0.3">
      <c r="A33" s="128" t="s">
        <v>141</v>
      </c>
      <c r="B33">
        <v>1296</v>
      </c>
    </row>
    <row r="34" spans="1:2" x14ac:dyDescent="0.3">
      <c r="A34" s="127" t="s">
        <v>128</v>
      </c>
      <c r="B34">
        <v>9193</v>
      </c>
    </row>
    <row r="35" spans="1:2" x14ac:dyDescent="0.3">
      <c r="A35" s="128" t="s">
        <v>132</v>
      </c>
      <c r="B35">
        <v>2300</v>
      </c>
    </row>
    <row r="36" spans="1:2" x14ac:dyDescent="0.3">
      <c r="A36" s="128" t="s">
        <v>135</v>
      </c>
      <c r="B36">
        <v>5329</v>
      </c>
    </row>
    <row r="37" spans="1:2" x14ac:dyDescent="0.3">
      <c r="A37" s="128" t="s">
        <v>136</v>
      </c>
      <c r="B37">
        <v>1564</v>
      </c>
    </row>
    <row r="38" spans="1:2" x14ac:dyDescent="0.3">
      <c r="A38" s="127" t="s">
        <v>125</v>
      </c>
      <c r="B38">
        <v>20790.34</v>
      </c>
    </row>
    <row r="43" spans="1:2" x14ac:dyDescent="0.3">
      <c r="A43" s="126" t="s">
        <v>124</v>
      </c>
      <c r="B43" t="s">
        <v>130</v>
      </c>
    </row>
    <row r="44" spans="1:2" x14ac:dyDescent="0.3">
      <c r="A44" s="127" t="s">
        <v>129</v>
      </c>
      <c r="B44">
        <v>0</v>
      </c>
    </row>
    <row r="45" spans="1:2" x14ac:dyDescent="0.3">
      <c r="A45" s="128" t="s">
        <v>131</v>
      </c>
      <c r="B45">
        <v>0</v>
      </c>
    </row>
    <row r="46" spans="1:2" x14ac:dyDescent="0.3">
      <c r="A46" s="127" t="s">
        <v>127</v>
      </c>
      <c r="B46">
        <v>2686</v>
      </c>
    </row>
    <row r="47" spans="1:2" x14ac:dyDescent="0.3">
      <c r="A47" s="128" t="s">
        <v>136</v>
      </c>
      <c r="B47">
        <v>2522.8000000000002</v>
      </c>
    </row>
    <row r="48" spans="1:2" x14ac:dyDescent="0.3">
      <c r="A48" s="128" t="s">
        <v>137</v>
      </c>
      <c r="B48">
        <v>0</v>
      </c>
    </row>
    <row r="49" spans="1:2" x14ac:dyDescent="0.3">
      <c r="A49" s="128" t="s">
        <v>131</v>
      </c>
      <c r="B49">
        <v>163.19999999999999</v>
      </c>
    </row>
    <row r="50" spans="1:2" x14ac:dyDescent="0.3">
      <c r="A50" s="127" t="s">
        <v>128</v>
      </c>
      <c r="B50">
        <v>5549</v>
      </c>
    </row>
    <row r="51" spans="1:2" x14ac:dyDescent="0.3">
      <c r="A51" s="128" t="s">
        <v>133</v>
      </c>
      <c r="B51">
        <v>5549</v>
      </c>
    </row>
    <row r="52" spans="1:2" x14ac:dyDescent="0.3">
      <c r="A52" s="128" t="s">
        <v>131</v>
      </c>
      <c r="B52">
        <v>0</v>
      </c>
    </row>
    <row r="53" spans="1:2" x14ac:dyDescent="0.3">
      <c r="A53" s="127" t="s">
        <v>125</v>
      </c>
      <c r="B53">
        <v>8235</v>
      </c>
    </row>
    <row r="58" spans="1:2" x14ac:dyDescent="0.3">
      <c r="A58" s="126" t="s">
        <v>124</v>
      </c>
      <c r="B58" t="s">
        <v>142</v>
      </c>
    </row>
    <row r="59" spans="1:2" x14ac:dyDescent="0.3">
      <c r="A59" s="127" t="s">
        <v>129</v>
      </c>
    </row>
    <row r="60" spans="1:2" x14ac:dyDescent="0.3">
      <c r="A60" s="128" t="s">
        <v>131</v>
      </c>
      <c r="B60">
        <v>820930</v>
      </c>
    </row>
    <row r="61" spans="1:2" x14ac:dyDescent="0.3">
      <c r="A61" s="127" t="s">
        <v>127</v>
      </c>
    </row>
    <row r="62" spans="1:2" x14ac:dyDescent="0.3">
      <c r="A62" s="128" t="s">
        <v>136</v>
      </c>
      <c r="B62">
        <v>0</v>
      </c>
    </row>
    <row r="63" spans="1:2" x14ac:dyDescent="0.3">
      <c r="A63" s="128" t="s">
        <v>137</v>
      </c>
      <c r="B63">
        <v>717937</v>
      </c>
    </row>
    <row r="64" spans="1:2" x14ac:dyDescent="0.3">
      <c r="A64" s="128" t="s">
        <v>131</v>
      </c>
      <c r="B64">
        <v>0</v>
      </c>
    </row>
    <row r="65" spans="1:2" x14ac:dyDescent="0.3">
      <c r="A65" s="127" t="s">
        <v>128</v>
      </c>
    </row>
    <row r="66" spans="1:2" x14ac:dyDescent="0.3">
      <c r="A66" s="128" t="s">
        <v>133</v>
      </c>
      <c r="B66">
        <v>576048</v>
      </c>
    </row>
    <row r="67" spans="1:2" x14ac:dyDescent="0.3">
      <c r="A67" s="128" t="s">
        <v>131</v>
      </c>
      <c r="B67">
        <v>100000</v>
      </c>
    </row>
    <row r="68" spans="1:2" x14ac:dyDescent="0.3">
      <c r="A68" s="127" t="s">
        <v>125</v>
      </c>
      <c r="B68">
        <v>2214915</v>
      </c>
    </row>
    <row r="74" spans="1:2" x14ac:dyDescent="0.3">
      <c r="A74" s="126" t="s">
        <v>124</v>
      </c>
      <c r="B74" t="s">
        <v>143</v>
      </c>
    </row>
    <row r="75" spans="1:2" x14ac:dyDescent="0.3">
      <c r="A75" s="127" t="s">
        <v>127</v>
      </c>
      <c r="B75">
        <v>3750.54</v>
      </c>
    </row>
    <row r="76" spans="1:2" x14ac:dyDescent="0.3">
      <c r="A76" s="128" t="s">
        <v>132</v>
      </c>
      <c r="B76">
        <v>206.17500000000001</v>
      </c>
    </row>
    <row r="77" spans="1:2" x14ac:dyDescent="0.3">
      <c r="A77" s="128" t="s">
        <v>133</v>
      </c>
      <c r="B77">
        <v>136.22</v>
      </c>
    </row>
    <row r="78" spans="1:2" x14ac:dyDescent="0.3">
      <c r="A78" s="128" t="s">
        <v>134</v>
      </c>
      <c r="B78">
        <v>295.69499999999999</v>
      </c>
    </row>
    <row r="79" spans="1:2" x14ac:dyDescent="0.3">
      <c r="A79" s="128" t="s">
        <v>135</v>
      </c>
      <c r="B79">
        <v>326.98</v>
      </c>
    </row>
    <row r="80" spans="1:2" x14ac:dyDescent="0.3">
      <c r="A80" s="128" t="s">
        <v>136</v>
      </c>
      <c r="B80">
        <v>344.15</v>
      </c>
    </row>
    <row r="81" spans="1:2" x14ac:dyDescent="0.3">
      <c r="A81" s="128" t="s">
        <v>137</v>
      </c>
      <c r="B81">
        <v>357.45000000000005</v>
      </c>
    </row>
    <row r="82" spans="1:2" x14ac:dyDescent="0.3">
      <c r="A82" s="128" t="s">
        <v>138</v>
      </c>
      <c r="B82">
        <v>367.68</v>
      </c>
    </row>
    <row r="83" spans="1:2" x14ac:dyDescent="0.3">
      <c r="A83" s="128" t="s">
        <v>139</v>
      </c>
      <c r="B83">
        <v>422.93</v>
      </c>
    </row>
    <row r="84" spans="1:2" x14ac:dyDescent="0.3">
      <c r="A84" s="128" t="s">
        <v>131</v>
      </c>
      <c r="B84">
        <v>528.97</v>
      </c>
    </row>
    <row r="85" spans="1:2" x14ac:dyDescent="0.3">
      <c r="A85" s="128" t="s">
        <v>140</v>
      </c>
      <c r="B85">
        <v>190</v>
      </c>
    </row>
    <row r="86" spans="1:2" x14ac:dyDescent="0.3">
      <c r="A86" s="128" t="s">
        <v>141</v>
      </c>
      <c r="B86">
        <v>574.29</v>
      </c>
    </row>
    <row r="87" spans="1:2" x14ac:dyDescent="0.3">
      <c r="A87" s="127" t="s">
        <v>128</v>
      </c>
      <c r="B87">
        <v>3725.5</v>
      </c>
    </row>
    <row r="88" spans="1:2" x14ac:dyDescent="0.3">
      <c r="A88" s="128" t="s">
        <v>144</v>
      </c>
      <c r="B88">
        <v>750</v>
      </c>
    </row>
    <row r="89" spans="1:2" x14ac:dyDescent="0.3">
      <c r="A89" s="128" t="s">
        <v>132</v>
      </c>
      <c r="B89">
        <v>657.75</v>
      </c>
    </row>
    <row r="90" spans="1:2" x14ac:dyDescent="0.3">
      <c r="A90" s="128" t="s">
        <v>133</v>
      </c>
      <c r="B90">
        <v>511.65</v>
      </c>
    </row>
    <row r="91" spans="1:2" x14ac:dyDescent="0.3">
      <c r="A91" s="128" t="s">
        <v>134</v>
      </c>
      <c r="B91">
        <v>633.5</v>
      </c>
    </row>
    <row r="92" spans="1:2" x14ac:dyDescent="0.3">
      <c r="A92" s="128" t="s">
        <v>135</v>
      </c>
      <c r="B92">
        <v>680.1</v>
      </c>
    </row>
    <row r="93" spans="1:2" x14ac:dyDescent="0.3">
      <c r="A93" s="128" t="s">
        <v>136</v>
      </c>
      <c r="B93">
        <v>492.5</v>
      </c>
    </row>
    <row r="94" spans="1:2" x14ac:dyDescent="0.3">
      <c r="A94" s="127" t="s">
        <v>125</v>
      </c>
      <c r="B94">
        <v>7476.04</v>
      </c>
    </row>
  </sheetData>
  <pageMargins left="0.7" right="0.7" top="0.75" bottom="0.75" header="0.3" footer="0.3"/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Expense</vt:lpstr>
      <vt:lpstr>Expense monthly</vt:lpstr>
      <vt:lpstr>Shopping before</vt:lpstr>
      <vt:lpstr>Fees Payment</vt:lpstr>
      <vt:lpstr>Loan</vt:lpstr>
      <vt:lpstr>Bank Account</vt:lpstr>
      <vt:lpstr>Earning</vt:lpstr>
      <vt:lpstr>Savings</vt:lpstr>
      <vt:lpstr>Macro</vt:lpstr>
      <vt:lpstr>Tracker</vt:lpstr>
      <vt:lpstr>Food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Harshit jain</cp:lastModifiedBy>
  <dcterms:created xsi:type="dcterms:W3CDTF">2022-09-22T04:35:01Z</dcterms:created>
  <dcterms:modified xsi:type="dcterms:W3CDTF">2024-06-30T08:37:02Z</dcterms:modified>
</cp:coreProperties>
</file>