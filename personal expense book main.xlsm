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dcc70bf9aa2c53/Desktop/Optimize/"/>
    </mc:Choice>
  </mc:AlternateContent>
  <xr:revisionPtr revIDLastSave="2679" documentId="13_ncr:1_{FEAD42EF-B106-4F68-BC16-87AB2544E960}" xr6:coauthVersionLast="47" xr6:coauthVersionMax="47" xr10:uidLastSave="{56B440BB-89A3-4095-BE98-578F6E48BBC0}"/>
  <bookViews>
    <workbookView xWindow="-108" yWindow="-108" windowWidth="23256" windowHeight="12456" tabRatio="836" firstSheet="1" activeTab="10" xr2:uid="{F6A035A3-3A79-42F9-8C6E-F3D92CC4A60D}"/>
  </bookViews>
  <sheets>
    <sheet name="Bank Account" sheetId="2" r:id="rId1"/>
    <sheet name="Expense monthly" sheetId="14" r:id="rId2"/>
    <sheet name="Expense" sheetId="1" r:id="rId3"/>
    <sheet name="Shopping before" sheetId="13" r:id="rId4"/>
    <sheet name="Fees Payment" sheetId="10" r:id="rId5"/>
    <sheet name="INR spending" sheetId="16" r:id="rId6"/>
    <sheet name="Loan" sheetId="9" r:id="rId7"/>
    <sheet name="Earning" sheetId="7" r:id="rId8"/>
    <sheet name="Savings" sheetId="8" r:id="rId9"/>
    <sheet name="Macro" sheetId="3" r:id="rId10"/>
    <sheet name="Tracker" sheetId="4" r:id="rId11"/>
    <sheet name="Food" sheetId="12" r:id="rId12"/>
    <sheet name="Dashboard" sheetId="15" r:id="rId13"/>
  </sheets>
  <definedNames>
    <definedName name="_xlnm._FilterDatabase" localSheetId="11" hidden="1">Food!$A$1:$H$601</definedName>
    <definedName name="_xlnm._FilterDatabase" localSheetId="10" hidden="1">Tracker!$A$1:$E$193</definedName>
  </definedNames>
  <calcPr calcId="191028"/>
  <pivotCaches>
    <pivotCache cacheId="0" r:id="rId14"/>
    <pivotCache cacheId="1" r:id="rId15"/>
    <pivotCache cacheId="2" r:id="rId16"/>
    <pivotCache cacheId="3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7" l="1"/>
  <c r="H757" i="12"/>
  <c r="E755" i="12"/>
  <c r="F755" i="12" s="1"/>
  <c r="E756" i="12" s="1"/>
  <c r="F756" i="12" s="1"/>
  <c r="G755" i="12"/>
  <c r="H755" i="12"/>
  <c r="G756" i="12"/>
  <c r="H756" i="12"/>
  <c r="B757" i="12"/>
  <c r="B3" i="16"/>
  <c r="D16" i="10"/>
  <c r="B16" i="10"/>
  <c r="XFD16" i="10" s="1"/>
  <c r="B48" i="13"/>
  <c r="B2" i="16" s="1"/>
  <c r="G3" i="12"/>
  <c r="G4" i="12" s="1"/>
  <c r="G5" i="12" s="1"/>
  <c r="F2" i="12"/>
  <c r="E3" i="12" s="1"/>
  <c r="F3" i="12" s="1"/>
  <c r="E4" i="12" s="1"/>
  <c r="F4" i="12" s="1"/>
  <c r="E5" i="12" s="1"/>
  <c r="F5" i="12" s="1"/>
  <c r="E6" i="12" s="1"/>
  <c r="F6" i="12" s="1"/>
  <c r="E7" i="12" s="1"/>
  <c r="F7" i="12" s="1"/>
  <c r="E8" i="12" s="1"/>
  <c r="F8" i="12" s="1"/>
  <c r="E9" i="12" s="1"/>
  <c r="F9" i="12" s="1"/>
  <c r="E10" i="12" s="1"/>
  <c r="F10" i="12" s="1"/>
  <c r="E11" i="12" s="1"/>
  <c r="F11" i="12" s="1"/>
  <c r="E12" i="12" s="1"/>
  <c r="F12" i="12" s="1"/>
  <c r="E13" i="12" s="1"/>
  <c r="F13" i="12" s="1"/>
  <c r="E14" i="12" s="1"/>
  <c r="F14" i="12" s="1"/>
  <c r="E15" i="12" s="1"/>
  <c r="F15" i="12" s="1"/>
  <c r="E16" i="12" s="1"/>
  <c r="F16" i="12" s="1"/>
  <c r="E17" i="12" s="1"/>
  <c r="F17" i="12" s="1"/>
  <c r="E18" i="12" s="1"/>
  <c r="F18" i="12" s="1"/>
  <c r="E19" i="12" s="1"/>
  <c r="F19" i="12" s="1"/>
  <c r="E20" i="12" s="1"/>
  <c r="F20" i="12" s="1"/>
  <c r="E21" i="12" s="1"/>
  <c r="F21" i="12" s="1"/>
  <c r="E22" i="12" s="1"/>
  <c r="F22" i="12" s="1"/>
  <c r="E23" i="12" s="1"/>
  <c r="F23" i="12" s="1"/>
  <c r="E24" i="12" s="1"/>
  <c r="F24" i="12" s="1"/>
  <c r="E25" i="12" s="1"/>
  <c r="F25" i="12" s="1"/>
  <c r="E26" i="12" s="1"/>
  <c r="F26" i="12" s="1"/>
  <c r="E27" i="12" s="1"/>
  <c r="F27" i="12" s="1"/>
  <c r="E28" i="12" s="1"/>
  <c r="F28" i="12" s="1"/>
  <c r="E29" i="12" s="1"/>
  <c r="F29" i="12" s="1"/>
  <c r="E30" i="12" s="1"/>
  <c r="F30" i="12" s="1"/>
  <c r="E31" i="12" s="1"/>
  <c r="F31" i="12" s="1"/>
  <c r="E32" i="12" s="1"/>
  <c r="F32" i="12" s="1"/>
  <c r="E33" i="12" s="1"/>
  <c r="F33" i="12" s="1"/>
  <c r="E34" i="12" s="1"/>
  <c r="F34" i="12" s="1"/>
  <c r="E35" i="12" s="1"/>
  <c r="F35" i="12" s="1"/>
  <c r="E36" i="12" s="1"/>
  <c r="F36" i="12" s="1"/>
  <c r="E37" i="12" s="1"/>
  <c r="F37" i="12" s="1"/>
  <c r="E38" i="12" s="1"/>
  <c r="F38" i="12" s="1"/>
  <c r="E39" i="12" s="1"/>
  <c r="F39" i="12" s="1"/>
  <c r="E40" i="12" s="1"/>
  <c r="F40" i="12" s="1"/>
  <c r="E41" i="12" s="1"/>
  <c r="F41" i="12" s="1"/>
  <c r="E42" i="12" s="1"/>
  <c r="F42" i="12" s="1"/>
  <c r="E43" i="12" s="1"/>
  <c r="F43" i="12" s="1"/>
  <c r="E44" i="12" s="1"/>
  <c r="F44" i="12" s="1"/>
  <c r="E45" i="12" s="1"/>
  <c r="F45" i="12" s="1"/>
  <c r="E46" i="12" s="1"/>
  <c r="F46" i="12" s="1"/>
  <c r="E47" i="12" s="1"/>
  <c r="F47" i="12" s="1"/>
  <c r="E48" i="12" s="1"/>
  <c r="F48" i="12" s="1"/>
  <c r="E49" i="12" s="1"/>
  <c r="F49" i="12" s="1"/>
  <c r="E50" i="12" s="1"/>
  <c r="F50" i="12" s="1"/>
  <c r="E51" i="12" s="1"/>
  <c r="F51" i="12" s="1"/>
  <c r="E52" i="12" s="1"/>
  <c r="F52" i="12" s="1"/>
  <c r="E53" i="12" s="1"/>
  <c r="F53" i="12" s="1"/>
  <c r="E54" i="12" s="1"/>
  <c r="F54" i="12" s="1"/>
  <c r="E55" i="12" s="1"/>
  <c r="F55" i="12" s="1"/>
  <c r="E56" i="12" s="1"/>
  <c r="F56" i="12" s="1"/>
  <c r="E57" i="12" s="1"/>
  <c r="F57" i="12" s="1"/>
  <c r="E58" i="12" s="1"/>
  <c r="F58" i="12" s="1"/>
  <c r="E59" i="12" s="1"/>
  <c r="F59" i="12" s="1"/>
  <c r="E60" i="12" s="1"/>
  <c r="F60" i="12" s="1"/>
  <c r="E61" i="12" s="1"/>
  <c r="F61" i="12" s="1"/>
  <c r="E62" i="12" s="1"/>
  <c r="F62" i="12" s="1"/>
  <c r="E63" i="12" s="1"/>
  <c r="F63" i="12" s="1"/>
  <c r="E64" i="12" s="1"/>
  <c r="F64" i="12" s="1"/>
  <c r="E65" i="12" s="1"/>
  <c r="F65" i="12" s="1"/>
  <c r="E66" i="12" s="1"/>
  <c r="F66" i="12" s="1"/>
  <c r="E67" i="12" s="1"/>
  <c r="F67" i="12" s="1"/>
  <c r="E68" i="12" s="1"/>
  <c r="F68" i="12" s="1"/>
  <c r="E69" i="12" s="1"/>
  <c r="F69" i="12" s="1"/>
  <c r="E70" i="12" s="1"/>
  <c r="F70" i="12" s="1"/>
  <c r="E71" i="12" s="1"/>
  <c r="F71" i="12" s="1"/>
  <c r="E72" i="12" s="1"/>
  <c r="F72" i="12" s="1"/>
  <c r="E73" i="12" s="1"/>
  <c r="F73" i="12" s="1"/>
  <c r="E74" i="12" s="1"/>
  <c r="F74" i="12" s="1"/>
  <c r="E75" i="12" s="1"/>
  <c r="F75" i="12" s="1"/>
  <c r="E76" i="12" s="1"/>
  <c r="F76" i="12" s="1"/>
  <c r="E77" i="12" s="1"/>
  <c r="F77" i="12" s="1"/>
  <c r="E78" i="12" s="1"/>
  <c r="F78" i="12" s="1"/>
  <c r="E79" i="12" s="1"/>
  <c r="F79" i="12" s="1"/>
  <c r="E80" i="12" s="1"/>
  <c r="F80" i="12" s="1"/>
  <c r="E81" i="12" s="1"/>
  <c r="F81" i="12" s="1"/>
  <c r="E82" i="12" s="1"/>
  <c r="F82" i="12" s="1"/>
  <c r="E83" i="12" s="1"/>
  <c r="F83" i="12" s="1"/>
  <c r="E84" i="12" s="1"/>
  <c r="F84" i="12" s="1"/>
  <c r="E85" i="12" s="1"/>
  <c r="F85" i="12" s="1"/>
  <c r="E86" i="12" s="1"/>
  <c r="F86" i="12" s="1"/>
  <c r="E87" i="12" s="1"/>
  <c r="F87" i="12" s="1"/>
  <c r="E88" i="12" s="1"/>
  <c r="F88" i="12" s="1"/>
  <c r="E89" i="12" s="1"/>
  <c r="F89" i="12" s="1"/>
  <c r="E90" i="12" s="1"/>
  <c r="F90" i="12" s="1"/>
  <c r="E91" i="12" s="1"/>
  <c r="F91" i="12" s="1"/>
  <c r="E92" i="12" s="1"/>
  <c r="F92" i="12" s="1"/>
  <c r="E93" i="12" s="1"/>
  <c r="F93" i="12" s="1"/>
  <c r="E94" i="12" s="1"/>
  <c r="F94" i="12" s="1"/>
  <c r="E95" i="12" s="1"/>
  <c r="F95" i="12" s="1"/>
  <c r="E96" i="12" s="1"/>
  <c r="F96" i="12" s="1"/>
  <c r="E97" i="12" s="1"/>
  <c r="F97" i="12" s="1"/>
  <c r="E98" i="12" s="1"/>
  <c r="F98" i="12" s="1"/>
  <c r="E99" i="12" s="1"/>
  <c r="F99" i="12" s="1"/>
  <c r="E100" i="12" s="1"/>
  <c r="F100" i="12" s="1"/>
  <c r="E101" i="12" s="1"/>
  <c r="F101" i="12" s="1"/>
  <c r="E102" i="12" s="1"/>
  <c r="F102" i="12" s="1"/>
  <c r="E103" i="12" s="1"/>
  <c r="F103" i="12" s="1"/>
  <c r="E104" i="12" s="1"/>
  <c r="F104" i="12" s="1"/>
  <c r="E105" i="12" s="1"/>
  <c r="F105" i="12" s="1"/>
  <c r="E106" i="12" s="1"/>
  <c r="F106" i="12" s="1"/>
  <c r="E107" i="12" s="1"/>
  <c r="F107" i="12" s="1"/>
  <c r="E108" i="12" s="1"/>
  <c r="F108" i="12" s="1"/>
  <c r="E109" i="12" s="1"/>
  <c r="F109" i="12" s="1"/>
  <c r="E110" i="12" s="1"/>
  <c r="F110" i="12" s="1"/>
  <c r="E111" i="12" s="1"/>
  <c r="F111" i="12" s="1"/>
  <c r="E112" i="12" s="1"/>
  <c r="F112" i="12" s="1"/>
  <c r="E113" i="12" s="1"/>
  <c r="F113" i="12" s="1"/>
  <c r="E114" i="12" s="1"/>
  <c r="F114" i="12" s="1"/>
  <c r="E115" i="12" s="1"/>
  <c r="F115" i="12" s="1"/>
  <c r="E116" i="12" s="1"/>
  <c r="F116" i="12" s="1"/>
  <c r="E117" i="12" s="1"/>
  <c r="F117" i="12" s="1"/>
  <c r="E118" i="12" s="1"/>
  <c r="F118" i="12" s="1"/>
  <c r="E119" i="12" s="1"/>
  <c r="F119" i="12" s="1"/>
  <c r="E120" i="12" s="1"/>
  <c r="F120" i="12" s="1"/>
  <c r="E121" i="12" s="1"/>
  <c r="F121" i="12" s="1"/>
  <c r="E122" i="12" s="1"/>
  <c r="F122" i="12" s="1"/>
  <c r="E123" i="12" s="1"/>
  <c r="F123" i="12" s="1"/>
  <c r="E124" i="12" s="1"/>
  <c r="F124" i="12" s="1"/>
  <c r="E125" i="12" s="1"/>
  <c r="F125" i="12" s="1"/>
  <c r="E126" i="12" s="1"/>
  <c r="F126" i="12" s="1"/>
  <c r="E127" i="12" s="1"/>
  <c r="F127" i="12" s="1"/>
  <c r="E128" i="12" s="1"/>
  <c r="F128" i="12" s="1"/>
  <c r="E129" i="12" s="1"/>
  <c r="F129" i="12" s="1"/>
  <c r="E130" i="12" s="1"/>
  <c r="F130" i="12" s="1"/>
  <c r="E131" i="12" s="1"/>
  <c r="F131" i="12" s="1"/>
  <c r="E132" i="12" s="1"/>
  <c r="F132" i="12" s="1"/>
  <c r="E133" i="12" s="1"/>
  <c r="F133" i="12" s="1"/>
  <c r="E134" i="12" s="1"/>
  <c r="F134" i="12" s="1"/>
  <c r="E135" i="12" s="1"/>
  <c r="F135" i="12" s="1"/>
  <c r="E136" i="12" s="1"/>
  <c r="F136" i="12" s="1"/>
  <c r="E137" i="12" s="1"/>
  <c r="F137" i="12" s="1"/>
  <c r="E138" i="12" s="1"/>
  <c r="F138" i="12" s="1"/>
  <c r="E139" i="12" s="1"/>
  <c r="F139" i="12" s="1"/>
  <c r="E140" i="12" s="1"/>
  <c r="F140" i="12" s="1"/>
  <c r="E141" i="12" s="1"/>
  <c r="F141" i="12" s="1"/>
  <c r="E142" i="12" s="1"/>
  <c r="F142" i="12" s="1"/>
  <c r="E143" i="12" s="1"/>
  <c r="F143" i="12" s="1"/>
  <c r="E144" i="12" s="1"/>
  <c r="F144" i="12" s="1"/>
  <c r="E145" i="12" s="1"/>
  <c r="F145" i="12" s="1"/>
  <c r="E146" i="12" s="1"/>
  <c r="F146" i="12" s="1"/>
  <c r="E147" i="12" s="1"/>
  <c r="F147" i="12" s="1"/>
  <c r="E148" i="12" s="1"/>
  <c r="F148" i="12" s="1"/>
  <c r="E149" i="12" s="1"/>
  <c r="F149" i="12" s="1"/>
  <c r="E150" i="12" s="1"/>
  <c r="F150" i="12" s="1"/>
  <c r="E151" i="12" s="1"/>
  <c r="F151" i="12" s="1"/>
  <c r="E152" i="12" s="1"/>
  <c r="F152" i="12" s="1"/>
  <c r="E153" i="12" s="1"/>
  <c r="F153" i="12" s="1"/>
  <c r="E154" i="12" s="1"/>
  <c r="F154" i="12" s="1"/>
  <c r="E155" i="12" s="1"/>
  <c r="F155" i="12" s="1"/>
  <c r="E156" i="12" s="1"/>
  <c r="F156" i="12" s="1"/>
  <c r="E157" i="12" s="1"/>
  <c r="F157" i="12" s="1"/>
  <c r="E158" i="12" s="1"/>
  <c r="F158" i="12" s="1"/>
  <c r="E159" i="12" s="1"/>
  <c r="F159" i="12" s="1"/>
  <c r="E160" i="12" s="1"/>
  <c r="F160" i="12" s="1"/>
  <c r="E161" i="12" s="1"/>
  <c r="F161" i="12" s="1"/>
  <c r="E162" i="12" s="1"/>
  <c r="F162" i="12" s="1"/>
  <c r="E163" i="12" s="1"/>
  <c r="F163" i="12" s="1"/>
  <c r="E164" i="12" s="1"/>
  <c r="F164" i="12" s="1"/>
  <c r="E165" i="12" s="1"/>
  <c r="F165" i="12" s="1"/>
  <c r="E166" i="12" s="1"/>
  <c r="F166" i="12" s="1"/>
  <c r="E167" i="12" s="1"/>
  <c r="F167" i="12" s="1"/>
  <c r="E168" i="12" s="1"/>
  <c r="F168" i="12" s="1"/>
  <c r="E169" i="12" s="1"/>
  <c r="F169" i="12" s="1"/>
  <c r="E170" i="12" s="1"/>
  <c r="F170" i="12" s="1"/>
  <c r="E171" i="12" s="1"/>
  <c r="F171" i="12" s="1"/>
  <c r="E172" i="12" s="1"/>
  <c r="F172" i="12" s="1"/>
  <c r="E173" i="12" s="1"/>
  <c r="F173" i="12" s="1"/>
  <c r="E174" i="12" s="1"/>
  <c r="F174" i="12" s="1"/>
  <c r="E175" i="12" s="1"/>
  <c r="F175" i="12" s="1"/>
  <c r="E176" i="12" s="1"/>
  <c r="F176" i="12" s="1"/>
  <c r="E177" i="12" s="1"/>
  <c r="F177" i="12" s="1"/>
  <c r="E178" i="12" s="1"/>
  <c r="F178" i="12" s="1"/>
  <c r="E179" i="12" s="1"/>
  <c r="F179" i="12" s="1"/>
  <c r="E180" i="12" s="1"/>
  <c r="F180" i="12" s="1"/>
  <c r="E181" i="12" s="1"/>
  <c r="F181" i="12" s="1"/>
  <c r="E182" i="12" s="1"/>
  <c r="F182" i="12" s="1"/>
  <c r="E183" i="12" s="1"/>
  <c r="F183" i="12" s="1"/>
  <c r="E184" i="12" s="1"/>
  <c r="F184" i="12" s="1"/>
  <c r="E185" i="12" s="1"/>
  <c r="F185" i="12" s="1"/>
  <c r="E186" i="12" s="1"/>
  <c r="F186" i="12" s="1"/>
  <c r="E187" i="12" s="1"/>
  <c r="F187" i="12" s="1"/>
  <c r="E188" i="12" s="1"/>
  <c r="F188" i="12" s="1"/>
  <c r="E189" i="12" s="1"/>
  <c r="F189" i="12" s="1"/>
  <c r="E190" i="12" s="1"/>
  <c r="F190" i="12" s="1"/>
  <c r="E191" i="12" s="1"/>
  <c r="F191" i="12" s="1"/>
  <c r="E192" i="12" s="1"/>
  <c r="F192" i="12" s="1"/>
  <c r="E193" i="12" s="1"/>
  <c r="F193" i="12" s="1"/>
  <c r="E194" i="12" s="1"/>
  <c r="F194" i="12" s="1"/>
  <c r="E195" i="12" s="1"/>
  <c r="F195" i="12" s="1"/>
  <c r="E196" i="12" s="1"/>
  <c r="F196" i="12" s="1"/>
  <c r="E197" i="12" s="1"/>
  <c r="F197" i="12" s="1"/>
  <c r="E198" i="12" s="1"/>
  <c r="F198" i="12" s="1"/>
  <c r="E199" i="12" s="1"/>
  <c r="F199" i="12" s="1"/>
  <c r="E200" i="12" s="1"/>
  <c r="F200" i="12" s="1"/>
  <c r="E201" i="12" s="1"/>
  <c r="F201" i="12" s="1"/>
  <c r="E202" i="12" s="1"/>
  <c r="F202" i="12" s="1"/>
  <c r="E203" i="12" s="1"/>
  <c r="F203" i="12" s="1"/>
  <c r="E204" i="12" s="1"/>
  <c r="F204" i="12" s="1"/>
  <c r="E205" i="12" s="1"/>
  <c r="F205" i="12" s="1"/>
  <c r="E206" i="12" s="1"/>
  <c r="F206" i="12" s="1"/>
  <c r="E207" i="12" s="1"/>
  <c r="F207" i="12" s="1"/>
  <c r="E208" i="12" s="1"/>
  <c r="F208" i="12" s="1"/>
  <c r="E209" i="12" s="1"/>
  <c r="F209" i="12" s="1"/>
  <c r="E210" i="12" s="1"/>
  <c r="F210" i="12" s="1"/>
  <c r="E211" i="12" s="1"/>
  <c r="F211" i="12" s="1"/>
  <c r="E212" i="12" s="1"/>
  <c r="F212" i="12" s="1"/>
  <c r="E213" i="12" s="1"/>
  <c r="F213" i="12" s="1"/>
  <c r="E214" i="12" s="1"/>
  <c r="F214" i="12" s="1"/>
  <c r="E215" i="12" s="1"/>
  <c r="F215" i="12" s="1"/>
  <c r="E216" i="12" s="1"/>
  <c r="F216" i="12" s="1"/>
  <c r="E217" i="12" s="1"/>
  <c r="F217" i="12" s="1"/>
  <c r="E218" i="12" s="1"/>
  <c r="F218" i="12" s="1"/>
  <c r="E219" i="12" s="1"/>
  <c r="F219" i="12" s="1"/>
  <c r="E220" i="12" s="1"/>
  <c r="F220" i="12" s="1"/>
  <c r="E221" i="12" s="1"/>
  <c r="F221" i="12" s="1"/>
  <c r="E222" i="12" s="1"/>
  <c r="F222" i="12" s="1"/>
  <c r="E223" i="12" s="1"/>
  <c r="F223" i="12" s="1"/>
  <c r="E224" i="12" s="1"/>
  <c r="F224" i="12" s="1"/>
  <c r="E225" i="12" s="1"/>
  <c r="F225" i="12" s="1"/>
  <c r="E226" i="12" s="1"/>
  <c r="F226" i="12" s="1"/>
  <c r="E227" i="12" s="1"/>
  <c r="F227" i="12" s="1"/>
  <c r="E228" i="12" s="1"/>
  <c r="F228" i="12" s="1"/>
  <c r="E229" i="12" s="1"/>
  <c r="F229" i="12" s="1"/>
  <c r="E230" i="12" s="1"/>
  <c r="F230" i="12" s="1"/>
  <c r="E231" i="12" s="1"/>
  <c r="F231" i="12" s="1"/>
  <c r="E232" i="12" s="1"/>
  <c r="F232" i="12" s="1"/>
  <c r="E233" i="12" s="1"/>
  <c r="F233" i="12" s="1"/>
  <c r="E234" i="12" s="1"/>
  <c r="F234" i="12" s="1"/>
  <c r="E235" i="12" s="1"/>
  <c r="F235" i="12" s="1"/>
  <c r="E236" i="12" s="1"/>
  <c r="F236" i="12" s="1"/>
  <c r="E237" i="12" s="1"/>
  <c r="F237" i="12" s="1"/>
  <c r="E238" i="12" s="1"/>
  <c r="F238" i="12" s="1"/>
  <c r="E239" i="12" s="1"/>
  <c r="F239" i="12" s="1"/>
  <c r="E240" i="12" s="1"/>
  <c r="F240" i="12" s="1"/>
  <c r="E241" i="12" s="1"/>
  <c r="F241" i="12" s="1"/>
  <c r="E242" i="12" s="1"/>
  <c r="F242" i="12" s="1"/>
  <c r="E243" i="12" s="1"/>
  <c r="F243" i="12" s="1"/>
  <c r="E244" i="12" s="1"/>
  <c r="F244" i="12" s="1"/>
  <c r="E245" i="12" s="1"/>
  <c r="F245" i="12" s="1"/>
  <c r="E246" i="12" s="1"/>
  <c r="F246" i="12" s="1"/>
  <c r="E247" i="12" s="1"/>
  <c r="F247" i="12" s="1"/>
  <c r="E248" i="12" s="1"/>
  <c r="F248" i="12" s="1"/>
  <c r="E249" i="12" s="1"/>
  <c r="F249" i="12" s="1"/>
  <c r="E250" i="12" s="1"/>
  <c r="F250" i="12" s="1"/>
  <c r="E251" i="12" s="1"/>
  <c r="F251" i="12" s="1"/>
  <c r="E252" i="12" s="1"/>
  <c r="F252" i="12" s="1"/>
  <c r="E253" i="12" s="1"/>
  <c r="F253" i="12" s="1"/>
  <c r="E254" i="12" s="1"/>
  <c r="F254" i="12" s="1"/>
  <c r="E255" i="12" s="1"/>
  <c r="F255" i="12" s="1"/>
  <c r="E256" i="12" s="1"/>
  <c r="F256" i="12" s="1"/>
  <c r="E257" i="12" s="1"/>
  <c r="F257" i="12" s="1"/>
  <c r="E258" i="12" s="1"/>
  <c r="F258" i="12" s="1"/>
  <c r="E259" i="12" s="1"/>
  <c r="F259" i="12" s="1"/>
  <c r="E260" i="12" s="1"/>
  <c r="F260" i="12" s="1"/>
  <c r="E261" i="12" s="1"/>
  <c r="F261" i="12" s="1"/>
  <c r="E262" i="12" s="1"/>
  <c r="F262" i="12" s="1"/>
  <c r="E263" i="12" s="1"/>
  <c r="F263" i="12" s="1"/>
  <c r="E264" i="12" s="1"/>
  <c r="F264" i="12" s="1"/>
  <c r="E265" i="12" s="1"/>
  <c r="F265" i="12" s="1"/>
  <c r="E266" i="12" s="1"/>
  <c r="F266" i="12" s="1"/>
  <c r="E267" i="12" s="1"/>
  <c r="F267" i="12" s="1"/>
  <c r="E268" i="12" s="1"/>
  <c r="F268" i="12" s="1"/>
  <c r="E269" i="12" s="1"/>
  <c r="F269" i="12" s="1"/>
  <c r="E270" i="12" s="1"/>
  <c r="F270" i="12" s="1"/>
  <c r="E271" i="12" s="1"/>
  <c r="F271" i="12" s="1"/>
  <c r="E272" i="12" s="1"/>
  <c r="F272" i="12" s="1"/>
  <c r="E273" i="12" s="1"/>
  <c r="F273" i="12" s="1"/>
  <c r="E274" i="12" s="1"/>
  <c r="F274" i="12" s="1"/>
  <c r="E275" i="12" s="1"/>
  <c r="F275" i="12" s="1"/>
  <c r="E276" i="12" s="1"/>
  <c r="F276" i="12" s="1"/>
  <c r="E277" i="12" s="1"/>
  <c r="F277" i="12" s="1"/>
  <c r="E278" i="12" s="1"/>
  <c r="F278" i="12" s="1"/>
  <c r="E279" i="12" s="1"/>
  <c r="F279" i="12" s="1"/>
  <c r="E280" i="12" s="1"/>
  <c r="F280" i="12" s="1"/>
  <c r="E281" i="12" s="1"/>
  <c r="F281" i="12" s="1"/>
  <c r="E282" i="12" s="1"/>
  <c r="F282" i="12" s="1"/>
  <c r="E283" i="12" s="1"/>
  <c r="F283" i="12" s="1"/>
  <c r="E284" i="12" s="1"/>
  <c r="F284" i="12" s="1"/>
  <c r="E285" i="12" s="1"/>
  <c r="F285" i="12" s="1"/>
  <c r="E286" i="12" s="1"/>
  <c r="F286" i="12" s="1"/>
  <c r="E287" i="12" s="1"/>
  <c r="F287" i="12" s="1"/>
  <c r="E288" i="12" s="1"/>
  <c r="F288" i="12" s="1"/>
  <c r="E289" i="12" s="1"/>
  <c r="F289" i="12" s="1"/>
  <c r="E290" i="12" s="1"/>
  <c r="F290" i="12" s="1"/>
  <c r="E291" i="12" s="1"/>
  <c r="F291" i="12" s="1"/>
  <c r="E292" i="12" s="1"/>
  <c r="F292" i="12" s="1"/>
  <c r="E293" i="12" s="1"/>
  <c r="F293" i="12" s="1"/>
  <c r="E294" i="12" s="1"/>
  <c r="F294" i="12" s="1"/>
  <c r="E295" i="12" s="1"/>
  <c r="F295" i="12" s="1"/>
  <c r="E296" i="12" s="1"/>
  <c r="F296" i="12" s="1"/>
  <c r="E297" i="12" s="1"/>
  <c r="F297" i="12" s="1"/>
  <c r="E298" i="12" s="1"/>
  <c r="F298" i="12" s="1"/>
  <c r="E299" i="12" s="1"/>
  <c r="F299" i="12" s="1"/>
  <c r="E300" i="12" s="1"/>
  <c r="F300" i="12" s="1"/>
  <c r="E301" i="12" s="1"/>
  <c r="F301" i="12" s="1"/>
  <c r="E302" i="12" s="1"/>
  <c r="F302" i="12" s="1"/>
  <c r="E303" i="12" s="1"/>
  <c r="F303" i="12" s="1"/>
  <c r="E304" i="12" s="1"/>
  <c r="F304" i="12" s="1"/>
  <c r="E305" i="12" s="1"/>
  <c r="F305" i="12" s="1"/>
  <c r="E306" i="12" s="1"/>
  <c r="F306" i="12" s="1"/>
  <c r="E307" i="12" s="1"/>
  <c r="F307" i="12" s="1"/>
  <c r="E308" i="12" s="1"/>
  <c r="F308" i="12" s="1"/>
  <c r="E309" i="12" s="1"/>
  <c r="F309" i="12" s="1"/>
  <c r="E310" i="12" s="1"/>
  <c r="F310" i="12" s="1"/>
  <c r="E311" i="12" s="1"/>
  <c r="F311" i="12" s="1"/>
  <c r="E312" i="12" s="1"/>
  <c r="F312" i="12" s="1"/>
  <c r="E313" i="12" s="1"/>
  <c r="F313" i="12" s="1"/>
  <c r="E314" i="12" s="1"/>
  <c r="F314" i="12" s="1"/>
  <c r="E315" i="12" s="1"/>
  <c r="F315" i="12" s="1"/>
  <c r="E316" i="12" s="1"/>
  <c r="F316" i="12" s="1"/>
  <c r="E317" i="12" s="1"/>
  <c r="F317" i="12" s="1"/>
  <c r="E318" i="12" s="1"/>
  <c r="F318" i="12" s="1"/>
  <c r="E319" i="12" s="1"/>
  <c r="F319" i="12" s="1"/>
  <c r="E320" i="12" s="1"/>
  <c r="F320" i="12" s="1"/>
  <c r="E321" i="12" s="1"/>
  <c r="F321" i="12" s="1"/>
  <c r="E322" i="12" s="1"/>
  <c r="F322" i="12" s="1"/>
  <c r="E323" i="12" s="1"/>
  <c r="F323" i="12" s="1"/>
  <c r="E324" i="12" s="1"/>
  <c r="F324" i="12" s="1"/>
  <c r="E325" i="12" s="1"/>
  <c r="F325" i="12" s="1"/>
  <c r="E326" i="12" s="1"/>
  <c r="F326" i="12" s="1"/>
  <c r="E327" i="12" s="1"/>
  <c r="F327" i="12" s="1"/>
  <c r="E328" i="12" s="1"/>
  <c r="F328" i="12" s="1"/>
  <c r="E329" i="12" s="1"/>
  <c r="F329" i="12" s="1"/>
  <c r="E330" i="12" s="1"/>
  <c r="F330" i="12" s="1"/>
  <c r="E331" i="12" s="1"/>
  <c r="F331" i="12" s="1"/>
  <c r="E332" i="12" s="1"/>
  <c r="F332" i="12" s="1"/>
  <c r="E333" i="12" s="1"/>
  <c r="F333" i="12" s="1"/>
  <c r="E334" i="12" s="1"/>
  <c r="F334" i="12" s="1"/>
  <c r="E335" i="12" s="1"/>
  <c r="F335" i="12" s="1"/>
  <c r="E336" i="12" s="1"/>
  <c r="F336" i="12" s="1"/>
  <c r="E337" i="12" s="1"/>
  <c r="F337" i="12" s="1"/>
  <c r="E338" i="12" s="1"/>
  <c r="F338" i="12" s="1"/>
  <c r="E339" i="12" s="1"/>
  <c r="F339" i="12" s="1"/>
  <c r="E340" i="12" s="1"/>
  <c r="F340" i="12" s="1"/>
  <c r="E341" i="12" s="1"/>
  <c r="F341" i="12" s="1"/>
  <c r="E342" i="12" s="1"/>
  <c r="F342" i="12" s="1"/>
  <c r="E343" i="12" s="1"/>
  <c r="F343" i="12" s="1"/>
  <c r="E344" i="12" s="1"/>
  <c r="F344" i="12" s="1"/>
  <c r="E345" i="12" s="1"/>
  <c r="F345" i="12" s="1"/>
  <c r="E346" i="12" s="1"/>
  <c r="F346" i="12" s="1"/>
  <c r="E347" i="12" s="1"/>
  <c r="F347" i="12" s="1"/>
  <c r="E348" i="12" s="1"/>
  <c r="F348" i="12" s="1"/>
  <c r="E349" i="12" s="1"/>
  <c r="F349" i="12" s="1"/>
  <c r="E350" i="12" s="1"/>
  <c r="F350" i="12" s="1"/>
  <c r="E351" i="12" s="1"/>
  <c r="F351" i="12" s="1"/>
  <c r="E352" i="12" s="1"/>
  <c r="F352" i="12" s="1"/>
  <c r="E353" i="12" s="1"/>
  <c r="F353" i="12" s="1"/>
  <c r="E354" i="12" s="1"/>
  <c r="F354" i="12" s="1"/>
  <c r="E355" i="12" s="1"/>
  <c r="F355" i="12" s="1"/>
  <c r="E356" i="12" s="1"/>
  <c r="F356" i="12" s="1"/>
  <c r="E357" i="12" s="1"/>
  <c r="F357" i="12" s="1"/>
  <c r="E358" i="12" s="1"/>
  <c r="F358" i="12" s="1"/>
  <c r="E359" i="12" s="1"/>
  <c r="F359" i="12" s="1"/>
  <c r="E360" i="12" s="1"/>
  <c r="F360" i="12" s="1"/>
  <c r="E361" i="12" s="1"/>
  <c r="F361" i="12" s="1"/>
  <c r="E362" i="12" s="1"/>
  <c r="F362" i="12" s="1"/>
  <c r="E363" i="12" s="1"/>
  <c r="F363" i="12" s="1"/>
  <c r="E364" i="12" s="1"/>
  <c r="F364" i="12" s="1"/>
  <c r="E365" i="12" s="1"/>
  <c r="F365" i="12" s="1"/>
  <c r="E366" i="12" s="1"/>
  <c r="F366" i="12" s="1"/>
  <c r="E367" i="12" s="1"/>
  <c r="F367" i="12" s="1"/>
  <c r="E368" i="12" s="1"/>
  <c r="F368" i="12" s="1"/>
  <c r="E369" i="12" s="1"/>
  <c r="F369" i="12" s="1"/>
  <c r="E370" i="12" s="1"/>
  <c r="F370" i="12" s="1"/>
  <c r="E371" i="12" s="1"/>
  <c r="F371" i="12" s="1"/>
  <c r="E372" i="12" s="1"/>
  <c r="F372" i="12" s="1"/>
  <c r="E373" i="12" s="1"/>
  <c r="F373" i="12" s="1"/>
  <c r="E374" i="12" s="1"/>
  <c r="F374" i="12" s="1"/>
  <c r="E375" i="12" s="1"/>
  <c r="F375" i="12" s="1"/>
  <c r="E376" i="12" s="1"/>
  <c r="F376" i="12" s="1"/>
  <c r="E377" i="12" s="1"/>
  <c r="F377" i="12" s="1"/>
  <c r="E378" i="12" s="1"/>
  <c r="F378" i="12" s="1"/>
  <c r="E379" i="12" s="1"/>
  <c r="F379" i="12" s="1"/>
  <c r="E380" i="12" s="1"/>
  <c r="F380" i="12" s="1"/>
  <c r="E381" i="12" s="1"/>
  <c r="F381" i="12" s="1"/>
  <c r="E382" i="12" s="1"/>
  <c r="F382" i="12" s="1"/>
  <c r="E383" i="12" s="1"/>
  <c r="F383" i="12" s="1"/>
  <c r="E384" i="12" s="1"/>
  <c r="F384" i="12" s="1"/>
  <c r="E385" i="12" s="1"/>
  <c r="F385" i="12" s="1"/>
  <c r="E386" i="12" s="1"/>
  <c r="F386" i="12" s="1"/>
  <c r="E387" i="12" s="1"/>
  <c r="F387" i="12" s="1"/>
  <c r="E388" i="12" s="1"/>
  <c r="F388" i="12" s="1"/>
  <c r="E389" i="12" s="1"/>
  <c r="F389" i="12" s="1"/>
  <c r="E390" i="12" s="1"/>
  <c r="F390" i="12" s="1"/>
  <c r="E391" i="12" s="1"/>
  <c r="F391" i="12" s="1"/>
  <c r="E392" i="12" s="1"/>
  <c r="F392" i="12" s="1"/>
  <c r="E393" i="12" s="1"/>
  <c r="F393" i="12" s="1"/>
  <c r="E394" i="12" s="1"/>
  <c r="F394" i="12" s="1"/>
  <c r="E395" i="12" s="1"/>
  <c r="F395" i="12" s="1"/>
  <c r="E396" i="12" s="1"/>
  <c r="F396" i="12" s="1"/>
  <c r="E397" i="12" s="1"/>
  <c r="F397" i="12" s="1"/>
  <c r="E398" i="12" s="1"/>
  <c r="F398" i="12" s="1"/>
  <c r="E399" i="12" s="1"/>
  <c r="F399" i="12" s="1"/>
  <c r="E400" i="12" s="1"/>
  <c r="F400" i="12" s="1"/>
  <c r="E401" i="12" s="1"/>
  <c r="F401" i="12" s="1"/>
  <c r="E402" i="12" s="1"/>
  <c r="F402" i="12" s="1"/>
  <c r="E403" i="12" s="1"/>
  <c r="F403" i="12" s="1"/>
  <c r="E404" i="12" s="1"/>
  <c r="F404" i="12" s="1"/>
  <c r="E405" i="12" s="1"/>
  <c r="F405" i="12" s="1"/>
  <c r="E406" i="12" s="1"/>
  <c r="F406" i="12" s="1"/>
  <c r="E407" i="12" s="1"/>
  <c r="F407" i="12" s="1"/>
  <c r="E408" i="12" s="1"/>
  <c r="F408" i="12" s="1"/>
  <c r="E409" i="12" s="1"/>
  <c r="F409" i="12" s="1"/>
  <c r="E410" i="12" s="1"/>
  <c r="F410" i="12" s="1"/>
  <c r="E411" i="12" s="1"/>
  <c r="F411" i="12" s="1"/>
  <c r="E412" i="12" s="1"/>
  <c r="F412" i="12" s="1"/>
  <c r="E413" i="12" s="1"/>
  <c r="F413" i="12" s="1"/>
  <c r="E414" i="12" s="1"/>
  <c r="F414" i="12" s="1"/>
  <c r="E415" i="12" s="1"/>
  <c r="F415" i="12" s="1"/>
  <c r="E416" i="12" s="1"/>
  <c r="F416" i="12" s="1"/>
  <c r="E417" i="12" s="1"/>
  <c r="F417" i="12" s="1"/>
  <c r="E418" i="12" s="1"/>
  <c r="F418" i="12" s="1"/>
  <c r="E419" i="12" s="1"/>
  <c r="F419" i="12" s="1"/>
  <c r="E420" i="12" s="1"/>
  <c r="F420" i="12" s="1"/>
  <c r="E421" i="12" s="1"/>
  <c r="F421" i="12" s="1"/>
  <c r="E422" i="12" s="1"/>
  <c r="F422" i="12" s="1"/>
  <c r="E423" i="12" s="1"/>
  <c r="F423" i="12" s="1"/>
  <c r="E424" i="12" s="1"/>
  <c r="F424" i="12" s="1"/>
  <c r="E425" i="12" s="1"/>
  <c r="F425" i="12" s="1"/>
  <c r="E426" i="12" s="1"/>
  <c r="F426" i="12" s="1"/>
  <c r="E427" i="12" s="1"/>
  <c r="F427" i="12" s="1"/>
  <c r="E428" i="12" s="1"/>
  <c r="F428" i="12" s="1"/>
  <c r="E429" i="12" s="1"/>
  <c r="F429" i="12" s="1"/>
  <c r="E430" i="12" s="1"/>
  <c r="F430" i="12" s="1"/>
  <c r="E431" i="12" s="1"/>
  <c r="F431" i="12" s="1"/>
  <c r="E432" i="12" s="1"/>
  <c r="F432" i="12" s="1"/>
  <c r="E433" i="12" s="1"/>
  <c r="F433" i="12" s="1"/>
  <c r="E434" i="12" s="1"/>
  <c r="F434" i="12" s="1"/>
  <c r="E435" i="12" s="1"/>
  <c r="F435" i="12" s="1"/>
  <c r="E436" i="12" s="1"/>
  <c r="F436" i="12" s="1"/>
  <c r="E437" i="12" s="1"/>
  <c r="F437" i="12" s="1"/>
  <c r="E438" i="12" s="1"/>
  <c r="F438" i="12" s="1"/>
  <c r="E439" i="12" s="1"/>
  <c r="F439" i="12" s="1"/>
  <c r="E440" i="12" s="1"/>
  <c r="F440" i="12" s="1"/>
  <c r="E441" i="12" s="1"/>
  <c r="F441" i="12" s="1"/>
  <c r="E442" i="12" s="1"/>
  <c r="F442" i="12" s="1"/>
  <c r="E443" i="12" s="1"/>
  <c r="F443" i="12" s="1"/>
  <c r="E444" i="12" s="1"/>
  <c r="F444" i="12" s="1"/>
  <c r="E445" i="12" s="1"/>
  <c r="F445" i="12" s="1"/>
  <c r="E446" i="12" s="1"/>
  <c r="F446" i="12" s="1"/>
  <c r="E447" i="12" s="1"/>
  <c r="F447" i="12" s="1"/>
  <c r="E448" i="12" s="1"/>
  <c r="F448" i="12" s="1"/>
  <c r="E449" i="12" s="1"/>
  <c r="F449" i="12" s="1"/>
  <c r="E450" i="12" s="1"/>
  <c r="F450" i="12" s="1"/>
  <c r="E451" i="12" s="1"/>
  <c r="F451" i="12" s="1"/>
  <c r="E452" i="12" s="1"/>
  <c r="F452" i="12" s="1"/>
  <c r="E453" i="12" s="1"/>
  <c r="F453" i="12" s="1"/>
  <c r="E454" i="12" s="1"/>
  <c r="F454" i="12" s="1"/>
  <c r="E455" i="12" s="1"/>
  <c r="F455" i="12" s="1"/>
  <c r="E456" i="12" s="1"/>
  <c r="F456" i="12" s="1"/>
  <c r="E457" i="12" s="1"/>
  <c r="F457" i="12" s="1"/>
  <c r="E458" i="12" s="1"/>
  <c r="F458" i="12" s="1"/>
  <c r="E459" i="12" s="1"/>
  <c r="F459" i="12" s="1"/>
  <c r="E460" i="12" s="1"/>
  <c r="F460" i="12" s="1"/>
  <c r="E461" i="12" s="1"/>
  <c r="F461" i="12" s="1"/>
  <c r="E462" i="12" s="1"/>
  <c r="F462" i="12" s="1"/>
  <c r="E463" i="12" s="1"/>
  <c r="F463" i="12" s="1"/>
  <c r="E464" i="12" s="1"/>
  <c r="F464" i="12" s="1"/>
  <c r="E465" i="12" s="1"/>
  <c r="F465" i="12" s="1"/>
  <c r="E466" i="12" s="1"/>
  <c r="F466" i="12" s="1"/>
  <c r="E467" i="12" s="1"/>
  <c r="F467" i="12" s="1"/>
  <c r="E468" i="12" s="1"/>
  <c r="F468" i="12" s="1"/>
  <c r="E469" i="12" s="1"/>
  <c r="F469" i="12" s="1"/>
  <c r="E470" i="12" s="1"/>
  <c r="F470" i="12" s="1"/>
  <c r="E471" i="12" s="1"/>
  <c r="F471" i="12" s="1"/>
  <c r="E472" i="12" s="1"/>
  <c r="F472" i="12" s="1"/>
  <c r="E473" i="12" s="1"/>
  <c r="F473" i="12" s="1"/>
  <c r="E474" i="12" s="1"/>
  <c r="F474" i="12" s="1"/>
  <c r="E475" i="12" s="1"/>
  <c r="F475" i="12" s="1"/>
  <c r="E476" i="12" s="1"/>
  <c r="F476" i="12" s="1"/>
  <c r="E477" i="12" s="1"/>
  <c r="F477" i="12" s="1"/>
  <c r="E478" i="12" s="1"/>
  <c r="F478" i="12" s="1"/>
  <c r="E479" i="12" s="1"/>
  <c r="F479" i="12" s="1"/>
  <c r="E480" i="12" s="1"/>
  <c r="F480" i="12" s="1"/>
  <c r="E481" i="12" s="1"/>
  <c r="F481" i="12" s="1"/>
  <c r="E482" i="12" s="1"/>
  <c r="F482" i="12" s="1"/>
  <c r="E483" i="12" s="1"/>
  <c r="F483" i="12" s="1"/>
  <c r="E484" i="12" s="1"/>
  <c r="F484" i="12" s="1"/>
  <c r="E485" i="12" s="1"/>
  <c r="F485" i="12" s="1"/>
  <c r="E486" i="12" s="1"/>
  <c r="F486" i="12" s="1"/>
  <c r="E487" i="12" s="1"/>
  <c r="F487" i="12" s="1"/>
  <c r="E488" i="12" s="1"/>
  <c r="F488" i="12" s="1"/>
  <c r="E489" i="12" s="1"/>
  <c r="F489" i="12" s="1"/>
  <c r="E490" i="12" s="1"/>
  <c r="F490" i="12" s="1"/>
  <c r="E491" i="12" s="1"/>
  <c r="F491" i="12" s="1"/>
  <c r="E492" i="12" s="1"/>
  <c r="F492" i="12" s="1"/>
  <c r="E493" i="12" s="1"/>
  <c r="F493" i="12" s="1"/>
  <c r="E494" i="12" s="1"/>
  <c r="F494" i="12" s="1"/>
  <c r="E495" i="12" s="1"/>
  <c r="F495" i="12" s="1"/>
  <c r="E496" i="12" s="1"/>
  <c r="F496" i="12" s="1"/>
  <c r="E497" i="12" s="1"/>
  <c r="F497" i="12" s="1"/>
  <c r="E498" i="12" s="1"/>
  <c r="F498" i="12" s="1"/>
  <c r="E499" i="12" s="1"/>
  <c r="F499" i="12" s="1"/>
  <c r="E500" i="12" s="1"/>
  <c r="F500" i="12" s="1"/>
  <c r="E501" i="12" s="1"/>
  <c r="F501" i="12" s="1"/>
  <c r="E502" i="12" s="1"/>
  <c r="F502" i="12" s="1"/>
  <c r="E503" i="12" s="1"/>
  <c r="F503" i="12" s="1"/>
  <c r="E504" i="12" s="1"/>
  <c r="F504" i="12" s="1"/>
  <c r="E505" i="12" s="1"/>
  <c r="F505" i="12" s="1"/>
  <c r="E506" i="12" s="1"/>
  <c r="F506" i="12" s="1"/>
  <c r="E507" i="12" s="1"/>
  <c r="F507" i="12" s="1"/>
  <c r="E508" i="12" s="1"/>
  <c r="F508" i="12" s="1"/>
  <c r="E509" i="12" s="1"/>
  <c r="F509" i="12" s="1"/>
  <c r="E510" i="12" s="1"/>
  <c r="F510" i="12" s="1"/>
  <c r="E511" i="12" s="1"/>
  <c r="F511" i="12" s="1"/>
  <c r="E512" i="12" s="1"/>
  <c r="F512" i="12" s="1"/>
  <c r="E513" i="12" s="1"/>
  <c r="F513" i="12" s="1"/>
  <c r="E514" i="12" s="1"/>
  <c r="F514" i="12" s="1"/>
  <c r="E515" i="12" s="1"/>
  <c r="F515" i="12" s="1"/>
  <c r="E516" i="12" s="1"/>
  <c r="F516" i="12" s="1"/>
  <c r="E517" i="12" s="1"/>
  <c r="F517" i="12" s="1"/>
  <c r="E518" i="12" s="1"/>
  <c r="F518" i="12" s="1"/>
  <c r="E519" i="12" s="1"/>
  <c r="F519" i="12" s="1"/>
  <c r="E520" i="12" s="1"/>
  <c r="F520" i="12" s="1"/>
  <c r="E521" i="12" s="1"/>
  <c r="F521" i="12" s="1"/>
  <c r="E522" i="12" s="1"/>
  <c r="F522" i="12" s="1"/>
  <c r="E523" i="12" s="1"/>
  <c r="F523" i="12" s="1"/>
  <c r="E524" i="12" s="1"/>
  <c r="F524" i="12" s="1"/>
  <c r="E525" i="12" s="1"/>
  <c r="F525" i="12" s="1"/>
  <c r="E526" i="12" s="1"/>
  <c r="F526" i="12" s="1"/>
  <c r="E527" i="12" s="1"/>
  <c r="F527" i="12" s="1"/>
  <c r="E528" i="12" s="1"/>
  <c r="F528" i="12" s="1"/>
  <c r="E529" i="12" s="1"/>
  <c r="F529" i="12" s="1"/>
  <c r="E530" i="12" s="1"/>
  <c r="F530" i="12" s="1"/>
  <c r="E531" i="12" s="1"/>
  <c r="F531" i="12" s="1"/>
  <c r="E532" i="12" s="1"/>
  <c r="F532" i="12" s="1"/>
  <c r="E533" i="12" s="1"/>
  <c r="F533" i="12" s="1"/>
  <c r="E534" i="12" s="1"/>
  <c r="F534" i="12" s="1"/>
  <c r="E535" i="12" s="1"/>
  <c r="F535" i="12" s="1"/>
  <c r="E536" i="12" s="1"/>
  <c r="F536" i="12" s="1"/>
  <c r="E537" i="12" s="1"/>
  <c r="F537" i="12" s="1"/>
  <c r="E538" i="12" s="1"/>
  <c r="F538" i="12" s="1"/>
  <c r="E539" i="12" s="1"/>
  <c r="F539" i="12" s="1"/>
  <c r="E540" i="12" s="1"/>
  <c r="F540" i="12" s="1"/>
  <c r="E541" i="12" s="1"/>
  <c r="F541" i="12" s="1"/>
  <c r="E542" i="12" s="1"/>
  <c r="F542" i="12" s="1"/>
  <c r="E543" i="12" s="1"/>
  <c r="F543" i="12" s="1"/>
  <c r="E544" i="12" s="1"/>
  <c r="F544" i="12" s="1"/>
  <c r="E545" i="12" s="1"/>
  <c r="F545" i="12" s="1"/>
  <c r="E546" i="12" s="1"/>
  <c r="F546" i="12" s="1"/>
  <c r="E547" i="12" s="1"/>
  <c r="F547" i="12" s="1"/>
  <c r="E548" i="12" s="1"/>
  <c r="F548" i="12" s="1"/>
  <c r="E549" i="12" s="1"/>
  <c r="F549" i="12" s="1"/>
  <c r="E550" i="12" s="1"/>
  <c r="F550" i="12" s="1"/>
  <c r="E551" i="12" s="1"/>
  <c r="F551" i="12" s="1"/>
  <c r="E552" i="12" s="1"/>
  <c r="F552" i="12" s="1"/>
  <c r="E553" i="12" s="1"/>
  <c r="F553" i="12" s="1"/>
  <c r="E554" i="12" s="1"/>
  <c r="F554" i="12" s="1"/>
  <c r="E555" i="12" s="1"/>
  <c r="F555" i="12" s="1"/>
  <c r="E556" i="12" s="1"/>
  <c r="F556" i="12" s="1"/>
  <c r="E557" i="12" s="1"/>
  <c r="F557" i="12" s="1"/>
  <c r="E558" i="12" s="1"/>
  <c r="F558" i="12" s="1"/>
  <c r="E559" i="12" s="1"/>
  <c r="F559" i="12" s="1"/>
  <c r="E560" i="12" s="1"/>
  <c r="F560" i="12" s="1"/>
  <c r="E561" i="12" s="1"/>
  <c r="F561" i="12" s="1"/>
  <c r="E562" i="12" s="1"/>
  <c r="F562" i="12" s="1"/>
  <c r="E563" i="12" s="1"/>
  <c r="F563" i="12" s="1"/>
  <c r="E564" i="12" s="1"/>
  <c r="F564" i="12" s="1"/>
  <c r="E565" i="12" s="1"/>
  <c r="F565" i="12" s="1"/>
  <c r="E566" i="12" s="1"/>
  <c r="F566" i="12" s="1"/>
  <c r="E567" i="12" s="1"/>
  <c r="F567" i="12" s="1"/>
  <c r="E568" i="12" s="1"/>
  <c r="F568" i="12" s="1"/>
  <c r="E569" i="12" s="1"/>
  <c r="F569" i="12" s="1"/>
  <c r="E570" i="12" s="1"/>
  <c r="F570" i="12" s="1"/>
  <c r="E571" i="12" s="1"/>
  <c r="F571" i="12" s="1"/>
  <c r="E572" i="12" s="1"/>
  <c r="F572" i="12" s="1"/>
  <c r="E573" i="12" s="1"/>
  <c r="F573" i="12" s="1"/>
  <c r="E574" i="12" s="1"/>
  <c r="F574" i="12" s="1"/>
  <c r="E575" i="12" s="1"/>
  <c r="F575" i="12" s="1"/>
  <c r="E576" i="12" s="1"/>
  <c r="F576" i="12" s="1"/>
  <c r="E577" i="12" s="1"/>
  <c r="F577" i="12" s="1"/>
  <c r="E578" i="12" s="1"/>
  <c r="F578" i="12" s="1"/>
  <c r="E579" i="12" s="1"/>
  <c r="F579" i="12" s="1"/>
  <c r="E580" i="12" s="1"/>
  <c r="F580" i="12" s="1"/>
  <c r="E581" i="12" s="1"/>
  <c r="F581" i="12" s="1"/>
  <c r="E582" i="12" s="1"/>
  <c r="F582" i="12" s="1"/>
  <c r="E583" i="12" s="1"/>
  <c r="F583" i="12" s="1"/>
  <c r="E584" i="12" s="1"/>
  <c r="F584" i="12" s="1"/>
  <c r="E585" i="12" s="1"/>
  <c r="F585" i="12" s="1"/>
  <c r="E586" i="12" s="1"/>
  <c r="F586" i="12" s="1"/>
  <c r="E587" i="12" s="1"/>
  <c r="F587" i="12" s="1"/>
  <c r="E588" i="12" s="1"/>
  <c r="F588" i="12" s="1"/>
  <c r="E589" i="12" s="1"/>
  <c r="F589" i="12" s="1"/>
  <c r="E590" i="12" s="1"/>
  <c r="F590" i="12" s="1"/>
  <c r="E591" i="12" s="1"/>
  <c r="F591" i="12" s="1"/>
  <c r="E592" i="12" s="1"/>
  <c r="F592" i="12" s="1"/>
  <c r="E593" i="12" s="1"/>
  <c r="F593" i="12" s="1"/>
  <c r="E594" i="12" s="1"/>
  <c r="F594" i="12" s="1"/>
  <c r="E595" i="12" s="1"/>
  <c r="F595" i="12" s="1"/>
  <c r="E596" i="12" s="1"/>
  <c r="F596" i="12" s="1"/>
  <c r="E597" i="12" s="1"/>
  <c r="F597" i="12" s="1"/>
  <c r="E598" i="12" s="1"/>
  <c r="F598" i="12" s="1"/>
  <c r="E599" i="12" s="1"/>
  <c r="F599" i="12" s="1"/>
  <c r="E600" i="12" s="1"/>
  <c r="F600" i="12" s="1"/>
  <c r="E601" i="12" s="1"/>
  <c r="F601" i="12" s="1"/>
  <c r="E602" i="12" s="1"/>
  <c r="F602" i="12" s="1"/>
  <c r="E603" i="12" s="1"/>
  <c r="F603" i="12" s="1"/>
  <c r="E604" i="12" s="1"/>
  <c r="F604" i="12" s="1"/>
  <c r="E605" i="12" s="1"/>
  <c r="F605" i="12" s="1"/>
  <c r="E606" i="12" s="1"/>
  <c r="F606" i="12" s="1"/>
  <c r="E607" i="12" s="1"/>
  <c r="F607" i="12" s="1"/>
  <c r="E608" i="12" s="1"/>
  <c r="F608" i="12" s="1"/>
  <c r="E609" i="12" s="1"/>
  <c r="F609" i="12" s="1"/>
  <c r="E610" i="12" s="1"/>
  <c r="F610" i="12" s="1"/>
  <c r="E611" i="12" s="1"/>
  <c r="F611" i="12" s="1"/>
  <c r="E612" i="12" s="1"/>
  <c r="F612" i="12" s="1"/>
  <c r="E613" i="12" s="1"/>
  <c r="F613" i="12" s="1"/>
  <c r="E614" i="12" s="1"/>
  <c r="F614" i="12" s="1"/>
  <c r="E615" i="12" s="1"/>
  <c r="F615" i="12" s="1"/>
  <c r="E616" i="12" s="1"/>
  <c r="F616" i="12" s="1"/>
  <c r="E617" i="12" s="1"/>
  <c r="F617" i="12" s="1"/>
  <c r="E618" i="12" s="1"/>
  <c r="F618" i="12" s="1"/>
  <c r="E619" i="12" s="1"/>
  <c r="F619" i="12" s="1"/>
  <c r="E620" i="12" s="1"/>
  <c r="F620" i="12" s="1"/>
  <c r="E621" i="12" s="1"/>
  <c r="F621" i="12" s="1"/>
  <c r="E622" i="12" s="1"/>
  <c r="F622" i="12" s="1"/>
  <c r="E623" i="12" s="1"/>
  <c r="F623" i="12" s="1"/>
  <c r="E624" i="12" s="1"/>
  <c r="F624" i="12" s="1"/>
  <c r="E625" i="12" s="1"/>
  <c r="F625" i="12" s="1"/>
  <c r="E626" i="12" s="1"/>
  <c r="F626" i="12" s="1"/>
  <c r="E627" i="12" s="1"/>
  <c r="F627" i="12" s="1"/>
  <c r="E628" i="12" s="1"/>
  <c r="F628" i="12" s="1"/>
  <c r="E629" i="12" s="1"/>
  <c r="F629" i="12" s="1"/>
  <c r="E630" i="12" s="1"/>
  <c r="F630" i="12" s="1"/>
  <c r="E631" i="12" s="1"/>
  <c r="F631" i="12" s="1"/>
  <c r="E632" i="12" s="1"/>
  <c r="F632" i="12" s="1"/>
  <c r="E633" i="12" s="1"/>
  <c r="F633" i="12" s="1"/>
  <c r="E634" i="12" s="1"/>
  <c r="F634" i="12" s="1"/>
  <c r="E635" i="12" s="1"/>
  <c r="F635" i="12" s="1"/>
  <c r="E636" i="12" s="1"/>
  <c r="F636" i="12" s="1"/>
  <c r="E637" i="12" s="1"/>
  <c r="F637" i="12" s="1"/>
  <c r="E638" i="12" s="1"/>
  <c r="F638" i="12" s="1"/>
  <c r="E639" i="12" s="1"/>
  <c r="F639" i="12" s="1"/>
  <c r="E640" i="12" s="1"/>
  <c r="F640" i="12" s="1"/>
  <c r="E641" i="12" s="1"/>
  <c r="F641" i="12" s="1"/>
  <c r="E642" i="12" s="1"/>
  <c r="F642" i="12" s="1"/>
  <c r="E643" i="12" s="1"/>
  <c r="F643" i="12" s="1"/>
  <c r="E644" i="12" s="1"/>
  <c r="F644" i="12" s="1"/>
  <c r="E645" i="12" s="1"/>
  <c r="F645" i="12" s="1"/>
  <c r="E646" i="12" s="1"/>
  <c r="F646" i="12" s="1"/>
  <c r="E647" i="12" s="1"/>
  <c r="F647" i="12" s="1"/>
  <c r="E648" i="12" s="1"/>
  <c r="F648" i="12" s="1"/>
  <c r="E649" i="12" s="1"/>
  <c r="F649" i="12" s="1"/>
  <c r="E650" i="12" s="1"/>
  <c r="F650" i="12" s="1"/>
  <c r="E651" i="12" s="1"/>
  <c r="F651" i="12" s="1"/>
  <c r="E652" i="12" s="1"/>
  <c r="F652" i="12" s="1"/>
  <c r="E653" i="12" s="1"/>
  <c r="F653" i="12" s="1"/>
  <c r="E654" i="12" s="1"/>
  <c r="F654" i="12" s="1"/>
  <c r="E655" i="12" s="1"/>
  <c r="F655" i="12" s="1"/>
  <c r="E656" i="12" s="1"/>
  <c r="F656" i="12" s="1"/>
  <c r="E657" i="12" s="1"/>
  <c r="F657" i="12" s="1"/>
  <c r="E658" i="12" s="1"/>
  <c r="F658" i="12" s="1"/>
  <c r="E659" i="12" s="1"/>
  <c r="F659" i="12" s="1"/>
  <c r="E660" i="12" s="1"/>
  <c r="F660" i="12" s="1"/>
  <c r="E661" i="12" s="1"/>
  <c r="F661" i="12" s="1"/>
  <c r="E662" i="12" s="1"/>
  <c r="F662" i="12" s="1"/>
  <c r="E663" i="12" s="1"/>
  <c r="F663" i="12" s="1"/>
  <c r="E664" i="12" s="1"/>
  <c r="F664" i="12" s="1"/>
  <c r="E665" i="12" s="1"/>
  <c r="F665" i="12" s="1"/>
  <c r="E666" i="12" s="1"/>
  <c r="F666" i="12" s="1"/>
  <c r="E667" i="12" s="1"/>
  <c r="F667" i="12" s="1"/>
  <c r="E668" i="12" s="1"/>
  <c r="F668" i="12" s="1"/>
  <c r="E669" i="12" s="1"/>
  <c r="F669" i="12" s="1"/>
  <c r="E670" i="12" s="1"/>
  <c r="F670" i="12" s="1"/>
  <c r="E671" i="12" s="1"/>
  <c r="F671" i="12" s="1"/>
  <c r="E672" i="12" s="1"/>
  <c r="F672" i="12" s="1"/>
  <c r="E673" i="12" s="1"/>
  <c r="F673" i="12" s="1"/>
  <c r="E674" i="12" s="1"/>
  <c r="F674" i="12" s="1"/>
  <c r="E675" i="12" s="1"/>
  <c r="F675" i="12" s="1"/>
  <c r="E676" i="12" s="1"/>
  <c r="F676" i="12" s="1"/>
  <c r="E677" i="12" s="1"/>
  <c r="F677" i="12" s="1"/>
  <c r="E678" i="12" s="1"/>
  <c r="F678" i="12" s="1"/>
  <c r="E679" i="12" s="1"/>
  <c r="F679" i="12" s="1"/>
  <c r="E680" i="12" s="1"/>
  <c r="F680" i="12" s="1"/>
  <c r="E681" i="12" s="1"/>
  <c r="F681" i="12" s="1"/>
  <c r="E682" i="12" s="1"/>
  <c r="F682" i="12" s="1"/>
  <c r="E683" i="12" s="1"/>
  <c r="F683" i="12" s="1"/>
  <c r="E684" i="12" s="1"/>
  <c r="F684" i="12" s="1"/>
  <c r="E685" i="12" s="1"/>
  <c r="F685" i="12" s="1"/>
  <c r="E686" i="12" s="1"/>
  <c r="F686" i="12" s="1"/>
  <c r="E687" i="12" s="1"/>
  <c r="F687" i="12" s="1"/>
  <c r="E688" i="12" s="1"/>
  <c r="F688" i="12" s="1"/>
  <c r="E689" i="12" s="1"/>
  <c r="F689" i="12" s="1"/>
  <c r="E690" i="12" s="1"/>
  <c r="F690" i="12" s="1"/>
  <c r="E691" i="12" s="1"/>
  <c r="F691" i="12" s="1"/>
  <c r="E692" i="12" s="1"/>
  <c r="F692" i="12" s="1"/>
  <c r="E693" i="12" s="1"/>
  <c r="F693" i="12" s="1"/>
  <c r="E694" i="12" s="1"/>
  <c r="F694" i="12" s="1"/>
  <c r="E695" i="12" s="1"/>
  <c r="F695" i="12" s="1"/>
  <c r="E696" i="12" s="1"/>
  <c r="F696" i="12" s="1"/>
  <c r="E697" i="12" s="1"/>
  <c r="F697" i="12" s="1"/>
  <c r="E698" i="12" s="1"/>
  <c r="F698" i="12" s="1"/>
  <c r="E699" i="12" s="1"/>
  <c r="F699" i="12" s="1"/>
  <c r="E700" i="12" s="1"/>
  <c r="F700" i="12" s="1"/>
  <c r="E701" i="12" s="1"/>
  <c r="F701" i="12" s="1"/>
  <c r="E702" i="12" s="1"/>
  <c r="F702" i="12" s="1"/>
  <c r="E703" i="12" s="1"/>
  <c r="F703" i="12" s="1"/>
  <c r="E704" i="12" s="1"/>
  <c r="F704" i="12" s="1"/>
  <c r="E705" i="12" s="1"/>
  <c r="F705" i="12" s="1"/>
  <c r="E706" i="12" s="1"/>
  <c r="F706" i="12" s="1"/>
  <c r="E707" i="12" s="1"/>
  <c r="F707" i="12" s="1"/>
  <c r="E708" i="12" s="1"/>
  <c r="F708" i="12" s="1"/>
  <c r="E709" i="12" s="1"/>
  <c r="F709" i="12" s="1"/>
  <c r="E710" i="12" s="1"/>
  <c r="F710" i="12" s="1"/>
  <c r="E711" i="12" s="1"/>
  <c r="F711" i="12" s="1"/>
  <c r="E712" i="12" s="1"/>
  <c r="F712" i="12" s="1"/>
  <c r="E713" i="12" s="1"/>
  <c r="F713" i="12" s="1"/>
  <c r="E714" i="12" s="1"/>
  <c r="F714" i="12" s="1"/>
  <c r="E715" i="12" s="1"/>
  <c r="F715" i="12" s="1"/>
  <c r="E716" i="12" s="1"/>
  <c r="F716" i="12" s="1"/>
  <c r="E717" i="12" s="1"/>
  <c r="F717" i="12" s="1"/>
  <c r="E718" i="12" s="1"/>
  <c r="F718" i="12" s="1"/>
  <c r="E719" i="12" s="1"/>
  <c r="F719" i="12" s="1"/>
  <c r="E720" i="12" s="1"/>
  <c r="F720" i="12" s="1"/>
  <c r="E721" i="12" s="1"/>
  <c r="F721" i="12" s="1"/>
  <c r="E722" i="12" s="1"/>
  <c r="F722" i="12" s="1"/>
  <c r="E723" i="12" s="1"/>
  <c r="F723" i="12" s="1"/>
  <c r="E724" i="12" s="1"/>
  <c r="F724" i="12" s="1"/>
  <c r="E725" i="12" s="1"/>
  <c r="F725" i="12" s="1"/>
  <c r="E726" i="12" s="1"/>
  <c r="F726" i="12" s="1"/>
  <c r="E727" i="12" s="1"/>
  <c r="F727" i="12" s="1"/>
  <c r="E728" i="12" s="1"/>
  <c r="F728" i="12" s="1"/>
  <c r="E729" i="12" s="1"/>
  <c r="F729" i="12" s="1"/>
  <c r="E730" i="12" s="1"/>
  <c r="F730" i="12" s="1"/>
  <c r="E731" i="12" s="1"/>
  <c r="F731" i="12" s="1"/>
  <c r="E732" i="12" s="1"/>
  <c r="F732" i="12" s="1"/>
  <c r="E733" i="12" s="1"/>
  <c r="F733" i="12" s="1"/>
  <c r="E734" i="12" s="1"/>
  <c r="F734" i="12" s="1"/>
  <c r="E735" i="12" s="1"/>
  <c r="F735" i="12" s="1"/>
  <c r="E736" i="12" s="1"/>
  <c r="F736" i="12" s="1"/>
  <c r="E737" i="12" s="1"/>
  <c r="F737" i="12" s="1"/>
  <c r="E738" i="12" s="1"/>
  <c r="F738" i="12" s="1"/>
  <c r="E739" i="12" s="1"/>
  <c r="F739" i="12" s="1"/>
  <c r="E740" i="12" s="1"/>
  <c r="F740" i="12" s="1"/>
  <c r="E741" i="12" s="1"/>
  <c r="F741" i="12" s="1"/>
  <c r="E742" i="12" s="1"/>
  <c r="F742" i="12" s="1"/>
  <c r="E743" i="12" s="1"/>
  <c r="F743" i="12" s="1"/>
  <c r="E744" i="12" s="1"/>
  <c r="F744" i="12" s="1"/>
  <c r="E745" i="12" s="1"/>
  <c r="F745" i="12" s="1"/>
  <c r="E746" i="12" s="1"/>
  <c r="F746" i="12" s="1"/>
  <c r="E747" i="12" s="1"/>
  <c r="F747" i="12" s="1"/>
  <c r="E748" i="12" s="1"/>
  <c r="F748" i="12" s="1"/>
  <c r="E749" i="12" s="1"/>
  <c r="F749" i="12" s="1"/>
  <c r="E750" i="12" s="1"/>
  <c r="F750" i="12" s="1"/>
  <c r="E751" i="12" s="1"/>
  <c r="F751" i="12" s="1"/>
  <c r="E752" i="12" s="1"/>
  <c r="F752" i="12" s="1"/>
  <c r="E753" i="12" s="1"/>
  <c r="F753" i="12" s="1"/>
  <c r="E754" i="12" s="1"/>
  <c r="F754" i="12" s="1"/>
  <c r="H2" i="12"/>
  <c r="E7" i="9"/>
  <c r="I20" i="8"/>
  <c r="M14" i="8"/>
  <c r="G1" i="8"/>
  <c r="P10" i="8"/>
  <c r="B18" i="8"/>
  <c r="K8" i="1"/>
  <c r="L5" i="2"/>
  <c r="G15" i="2"/>
  <c r="L10" i="2"/>
  <c r="I9" i="2"/>
  <c r="F9" i="2"/>
  <c r="C9" i="2"/>
  <c r="G13" i="2"/>
  <c r="G14" i="2"/>
  <c r="I12" i="2"/>
  <c r="J12" i="2"/>
  <c r="I11" i="2"/>
  <c r="A11" i="2"/>
  <c r="L11" i="2"/>
  <c r="I10" i="2"/>
  <c r="F10" i="2"/>
  <c r="C10" i="2"/>
  <c r="L9" i="2"/>
  <c r="I8" i="2"/>
  <c r="F8" i="2"/>
  <c r="C8" i="2"/>
  <c r="L8" i="2"/>
  <c r="I7" i="2"/>
  <c r="F7" i="2"/>
  <c r="C7" i="2"/>
  <c r="L7" i="2"/>
  <c r="I6" i="2"/>
  <c r="F6" i="2"/>
  <c r="C6" i="2"/>
  <c r="L6" i="2"/>
  <c r="I5" i="2"/>
  <c r="F5" i="2"/>
  <c r="C5" i="2"/>
  <c r="L4" i="2"/>
  <c r="I4" i="2"/>
  <c r="F4" i="2"/>
  <c r="C4" i="2"/>
  <c r="L3" i="2"/>
  <c r="I3" i="2"/>
  <c r="F3" i="2"/>
  <c r="C3" i="2"/>
  <c r="L2" i="2"/>
  <c r="I2" i="2"/>
  <c r="F2" i="2"/>
  <c r="C2" i="2"/>
  <c r="B4" i="16"/>
  <c r="L12" i="2"/>
  <c r="K12" i="2"/>
  <c r="C11" i="2"/>
  <c r="B11" i="2"/>
  <c r="H14" i="2"/>
  <c r="I14" i="2"/>
  <c r="I13" i="2"/>
  <c r="H13" i="2"/>
  <c r="H15" i="2"/>
  <c r="I15" i="2"/>
  <c r="Q6" i="1"/>
  <c r="Q7" i="1"/>
  <c r="Q8" i="1"/>
  <c r="Q9" i="1"/>
  <c r="Q10" i="1"/>
  <c r="K3" i="1"/>
  <c r="K4" i="1"/>
  <c r="K5" i="1"/>
  <c r="K6" i="1"/>
  <c r="K7" i="1"/>
  <c r="K9" i="1"/>
  <c r="K10" i="1"/>
  <c r="K11" i="1"/>
  <c r="K2" i="1"/>
  <c r="B11" i="1"/>
  <c r="D10" i="1"/>
  <c r="D9" i="1"/>
  <c r="E9" i="1"/>
  <c r="D8" i="1"/>
  <c r="D7" i="1"/>
  <c r="F7" i="1"/>
  <c r="D6" i="1"/>
  <c r="D5" i="1"/>
  <c r="F5" i="1"/>
  <c r="H5" i="1"/>
  <c r="V4" i="1"/>
  <c r="T3" i="1"/>
  <c r="T4" i="1"/>
  <c r="D4" i="1"/>
  <c r="E4" i="1"/>
  <c r="D3" i="1"/>
  <c r="F3" i="1"/>
  <c r="D2" i="1"/>
  <c r="W1" i="1"/>
  <c r="X1" i="1"/>
  <c r="Y1" i="1"/>
  <c r="L3" i="1"/>
  <c r="N3" i="1"/>
  <c r="E5" i="1"/>
  <c r="H7" i="1"/>
  <c r="L7" i="1"/>
  <c r="F9" i="1"/>
  <c r="E7" i="1"/>
  <c r="D11" i="1"/>
  <c r="T2" i="1"/>
  <c r="L5" i="1"/>
  <c r="G3" i="1"/>
  <c r="H3" i="1"/>
  <c r="E6" i="1"/>
  <c r="E8" i="1"/>
  <c r="E10" i="1"/>
  <c r="G5" i="1"/>
  <c r="F6" i="1"/>
  <c r="F8" i="1"/>
  <c r="F10" i="1"/>
  <c r="E2" i="1"/>
  <c r="H9" i="1"/>
  <c r="F4" i="1"/>
  <c r="E3" i="1"/>
  <c r="G7" i="1"/>
  <c r="F2" i="1"/>
  <c r="L2" i="1"/>
  <c r="M2" i="1"/>
  <c r="O2" i="1"/>
  <c r="I5" i="1"/>
  <c r="M3" i="1"/>
  <c r="O3" i="1"/>
  <c r="N5" i="1"/>
  <c r="M5" i="1"/>
  <c r="O5" i="1"/>
  <c r="N7" i="1"/>
  <c r="P4" i="1"/>
  <c r="Q4" i="1"/>
  <c r="M7" i="1"/>
  <c r="O7" i="1"/>
  <c r="H2" i="1"/>
  <c r="G6" i="1"/>
  <c r="I6" i="1"/>
  <c r="L6" i="1"/>
  <c r="G10" i="1"/>
  <c r="I10" i="1"/>
  <c r="L10" i="1"/>
  <c r="G8" i="1"/>
  <c r="I8" i="1"/>
  <c r="L8" i="1"/>
  <c r="N2" i="1"/>
  <c r="H10" i="1"/>
  <c r="G4" i="1"/>
  <c r="I4" i="1"/>
  <c r="L4" i="1"/>
  <c r="G9" i="1"/>
  <c r="I9" i="1"/>
  <c r="L9" i="1"/>
  <c r="I7" i="1"/>
  <c r="I3" i="1"/>
  <c r="H8" i="1"/>
  <c r="F11" i="1"/>
  <c r="G2" i="1"/>
  <c r="I2" i="1"/>
  <c r="E11" i="1"/>
  <c r="H4" i="1"/>
  <c r="H6" i="1"/>
  <c r="N6" i="1"/>
  <c r="M6" i="1"/>
  <c r="O6" i="1"/>
  <c r="N10" i="1"/>
  <c r="P5" i="1"/>
  <c r="Q5" i="1"/>
  <c r="M10" i="1"/>
  <c r="O10" i="1"/>
  <c r="N9" i="1"/>
  <c r="M9" i="1"/>
  <c r="O9" i="1"/>
  <c r="N8" i="1"/>
  <c r="M8" i="1"/>
  <c r="O8" i="1"/>
  <c r="N4" i="1"/>
  <c r="P3" i="1"/>
  <c r="Q3" i="1"/>
  <c r="M4" i="1"/>
  <c r="H11" i="1"/>
  <c r="I11" i="1"/>
  <c r="G11" i="1"/>
  <c r="P2" i="1"/>
  <c r="L11" i="1"/>
  <c r="M11" i="1"/>
  <c r="O4" i="1"/>
  <c r="O11" i="1"/>
  <c r="N11" i="1"/>
  <c r="Q2" i="1"/>
  <c r="Q11" i="1"/>
  <c r="P11" i="1"/>
  <c r="H4" i="12" l="1"/>
  <c r="H3" i="12"/>
  <c r="G6" i="12"/>
  <c r="H5" i="12"/>
  <c r="G7" i="12" l="1"/>
  <c r="H6" i="12"/>
  <c r="G8" i="12" l="1"/>
  <c r="H7" i="12"/>
  <c r="G9" i="12" l="1"/>
  <c r="H8" i="12"/>
  <c r="G10" i="12" l="1"/>
  <c r="H9" i="12"/>
  <c r="G11" i="12" l="1"/>
  <c r="H10" i="12"/>
  <c r="G12" i="12" l="1"/>
  <c r="H11" i="12"/>
  <c r="G13" i="12" l="1"/>
  <c r="H12" i="12"/>
  <c r="G14" i="12" l="1"/>
  <c r="H13" i="12"/>
  <c r="G15" i="12" l="1"/>
  <c r="H14" i="12"/>
  <c r="G16" i="12" l="1"/>
  <c r="H15" i="12"/>
  <c r="G17" i="12" l="1"/>
  <c r="H16" i="12"/>
  <c r="G18" i="12" l="1"/>
  <c r="H17" i="12"/>
  <c r="G19" i="12" l="1"/>
  <c r="H18" i="12"/>
  <c r="G20" i="12" l="1"/>
  <c r="H19" i="12"/>
  <c r="G21" i="12" l="1"/>
  <c r="H20" i="12"/>
  <c r="G22" i="12" l="1"/>
  <c r="H21" i="12"/>
  <c r="G23" i="12" l="1"/>
  <c r="H22" i="12"/>
  <c r="G24" i="12" l="1"/>
  <c r="H23" i="12"/>
  <c r="G25" i="12" l="1"/>
  <c r="H24" i="12"/>
  <c r="G26" i="12" l="1"/>
  <c r="H25" i="12"/>
  <c r="G27" i="12" l="1"/>
  <c r="H26" i="12"/>
  <c r="G28" i="12" l="1"/>
  <c r="H27" i="12"/>
  <c r="G29" i="12" l="1"/>
  <c r="H28" i="12"/>
  <c r="G30" i="12" l="1"/>
  <c r="H29" i="12"/>
  <c r="G31" i="12" l="1"/>
  <c r="H30" i="12"/>
  <c r="G32" i="12" l="1"/>
  <c r="H31" i="12"/>
  <c r="G33" i="12" l="1"/>
  <c r="H32" i="12"/>
  <c r="G34" i="12" l="1"/>
  <c r="H33" i="12"/>
  <c r="G35" i="12" l="1"/>
  <c r="H34" i="12"/>
  <c r="G36" i="12" l="1"/>
  <c r="H35" i="12"/>
  <c r="G37" i="12" l="1"/>
  <c r="H36" i="12"/>
  <c r="G38" i="12" l="1"/>
  <c r="H37" i="12"/>
  <c r="G39" i="12" l="1"/>
  <c r="H38" i="12"/>
  <c r="G40" i="12" l="1"/>
  <c r="H39" i="12"/>
  <c r="G41" i="12" l="1"/>
  <c r="H40" i="12"/>
  <c r="G42" i="12" l="1"/>
  <c r="H41" i="12"/>
  <c r="G43" i="12" l="1"/>
  <c r="H42" i="12"/>
  <c r="G44" i="12" l="1"/>
  <c r="H43" i="12"/>
  <c r="G45" i="12" l="1"/>
  <c r="H44" i="12"/>
  <c r="G46" i="12" l="1"/>
  <c r="H45" i="12"/>
  <c r="G47" i="12" l="1"/>
  <c r="H46" i="12"/>
  <c r="G48" i="12" l="1"/>
  <c r="H47" i="12"/>
  <c r="G49" i="12" l="1"/>
  <c r="H48" i="12"/>
  <c r="G50" i="12" l="1"/>
  <c r="H49" i="12"/>
  <c r="G51" i="12" l="1"/>
  <c r="H50" i="12"/>
  <c r="G52" i="12" l="1"/>
  <c r="H51" i="12"/>
  <c r="G53" i="12" l="1"/>
  <c r="H52" i="12"/>
  <c r="G54" i="12" l="1"/>
  <c r="H53" i="12"/>
  <c r="G55" i="12" l="1"/>
  <c r="H54" i="12"/>
  <c r="H55" i="12" l="1"/>
  <c r="G56" i="12"/>
  <c r="H56" i="12" l="1"/>
  <c r="G57" i="12"/>
  <c r="G58" i="12" l="1"/>
  <c r="H57" i="12"/>
  <c r="G59" i="12" l="1"/>
  <c r="H58" i="12"/>
  <c r="G60" i="12" l="1"/>
  <c r="H59" i="12"/>
  <c r="G61" i="12" l="1"/>
  <c r="H60" i="12"/>
  <c r="G62" i="12" l="1"/>
  <c r="H61" i="12"/>
  <c r="G63" i="12" l="1"/>
  <c r="H62" i="12"/>
  <c r="G64" i="12" l="1"/>
  <c r="H63" i="12"/>
  <c r="G65" i="12" l="1"/>
  <c r="H64" i="12"/>
  <c r="G66" i="12" l="1"/>
  <c r="H65" i="12"/>
  <c r="G67" i="12" l="1"/>
  <c r="H66" i="12"/>
  <c r="G68" i="12" l="1"/>
  <c r="H67" i="12"/>
  <c r="G69" i="12" l="1"/>
  <c r="H68" i="12"/>
  <c r="G70" i="12" l="1"/>
  <c r="H69" i="12"/>
  <c r="G71" i="12" l="1"/>
  <c r="H70" i="12"/>
  <c r="H71" i="12" l="1"/>
  <c r="G72" i="12"/>
  <c r="H72" i="12" l="1"/>
  <c r="G73" i="12"/>
  <c r="H73" i="12" l="1"/>
  <c r="G74" i="12"/>
  <c r="G75" i="12" l="1"/>
  <c r="H74" i="12"/>
  <c r="G76" i="12" l="1"/>
  <c r="H75" i="12"/>
  <c r="G77" i="12" l="1"/>
  <c r="H76" i="12"/>
  <c r="G78" i="12" l="1"/>
  <c r="H77" i="12"/>
  <c r="G79" i="12" l="1"/>
  <c r="H78" i="12"/>
  <c r="G80" i="12" l="1"/>
  <c r="H79" i="12"/>
  <c r="G81" i="12" l="1"/>
  <c r="H80" i="12"/>
  <c r="G82" i="12" l="1"/>
  <c r="H81" i="12"/>
  <c r="G83" i="12" l="1"/>
  <c r="H82" i="12"/>
  <c r="G84" i="12" l="1"/>
  <c r="H83" i="12"/>
  <c r="G85" i="12" l="1"/>
  <c r="H84" i="12"/>
  <c r="G86" i="12" l="1"/>
  <c r="H85" i="12"/>
  <c r="G87" i="12" l="1"/>
  <c r="H86" i="12"/>
  <c r="G88" i="12" l="1"/>
  <c r="H87" i="12"/>
  <c r="G89" i="12" l="1"/>
  <c r="H88" i="12"/>
  <c r="G90" i="12" l="1"/>
  <c r="H89" i="12"/>
  <c r="G91" i="12" l="1"/>
  <c r="H90" i="12"/>
  <c r="G92" i="12" l="1"/>
  <c r="H91" i="12"/>
  <c r="G93" i="12" l="1"/>
  <c r="H92" i="12"/>
  <c r="H93" i="12" l="1"/>
  <c r="G94" i="12"/>
  <c r="H94" i="12" l="1"/>
  <c r="G95" i="12"/>
  <c r="G96" i="12" l="1"/>
  <c r="H95" i="12"/>
  <c r="G97" i="12" l="1"/>
  <c r="H96" i="12"/>
  <c r="G98" i="12" l="1"/>
  <c r="H97" i="12"/>
  <c r="G99" i="12" l="1"/>
  <c r="H98" i="12"/>
  <c r="G100" i="12" l="1"/>
  <c r="H99" i="12"/>
  <c r="H100" i="12" l="1"/>
  <c r="G101" i="12"/>
  <c r="G102" i="12" l="1"/>
  <c r="H101" i="12"/>
  <c r="G103" i="12" l="1"/>
  <c r="H102" i="12"/>
  <c r="G104" i="12" l="1"/>
  <c r="H103" i="12"/>
  <c r="G105" i="12" l="1"/>
  <c r="H104" i="12"/>
  <c r="G106" i="12" l="1"/>
  <c r="H105" i="12"/>
  <c r="G107" i="12" l="1"/>
  <c r="H106" i="12"/>
  <c r="G108" i="12" l="1"/>
  <c r="H107" i="12"/>
  <c r="G109" i="12" l="1"/>
  <c r="H108" i="12"/>
  <c r="G110" i="12" l="1"/>
  <c r="H109" i="12"/>
  <c r="G111" i="12" l="1"/>
  <c r="H110" i="12"/>
  <c r="H111" i="12" l="1"/>
  <c r="G112" i="12"/>
  <c r="G113" i="12" l="1"/>
  <c r="H112" i="12"/>
  <c r="G114" i="12" l="1"/>
  <c r="H113" i="12"/>
  <c r="G115" i="12" l="1"/>
  <c r="H114" i="12"/>
  <c r="G116" i="12" l="1"/>
  <c r="H115" i="12"/>
  <c r="G117" i="12" l="1"/>
  <c r="H116" i="12"/>
  <c r="G118" i="12" l="1"/>
  <c r="H117" i="12"/>
  <c r="G119" i="12" l="1"/>
  <c r="H118" i="12"/>
  <c r="G120" i="12" l="1"/>
  <c r="H119" i="12"/>
  <c r="H120" i="12" l="1"/>
  <c r="G121" i="12"/>
  <c r="G122" i="12" l="1"/>
  <c r="H121" i="12"/>
  <c r="G123" i="12" l="1"/>
  <c r="H122" i="12"/>
  <c r="G124" i="12" l="1"/>
  <c r="H123" i="12"/>
  <c r="G125" i="12" l="1"/>
  <c r="H124" i="12"/>
  <c r="G126" i="12" l="1"/>
  <c r="H125" i="12"/>
  <c r="G127" i="12" l="1"/>
  <c r="H126" i="12"/>
  <c r="H127" i="12" l="1"/>
  <c r="G128" i="12"/>
  <c r="G129" i="12" l="1"/>
  <c r="H128" i="12"/>
  <c r="G130" i="12" l="1"/>
  <c r="H129" i="12"/>
  <c r="G131" i="12" l="1"/>
  <c r="H130" i="12"/>
  <c r="G132" i="12" l="1"/>
  <c r="H131" i="12"/>
  <c r="G133" i="12" l="1"/>
  <c r="H132" i="12"/>
  <c r="H133" i="12" l="1"/>
  <c r="G134" i="12"/>
  <c r="G135" i="12" l="1"/>
  <c r="H134" i="12"/>
  <c r="H135" i="12" l="1"/>
  <c r="G136" i="12"/>
  <c r="H136" i="12" l="1"/>
  <c r="G137" i="12"/>
  <c r="G138" i="12" l="1"/>
  <c r="H137" i="12"/>
  <c r="G139" i="12" l="1"/>
  <c r="H138" i="12"/>
  <c r="G140" i="12" l="1"/>
  <c r="H139" i="12"/>
  <c r="G141" i="12" l="1"/>
  <c r="H140" i="12"/>
  <c r="G142" i="12" l="1"/>
  <c r="H141" i="12"/>
  <c r="G143" i="12" l="1"/>
  <c r="H142" i="12"/>
  <c r="G144" i="12" l="1"/>
  <c r="H143" i="12"/>
  <c r="G145" i="12" l="1"/>
  <c r="H144" i="12"/>
  <c r="G146" i="12" l="1"/>
  <c r="H145" i="12"/>
  <c r="G147" i="12" l="1"/>
  <c r="H146" i="12"/>
  <c r="G148" i="12" l="1"/>
  <c r="H147" i="12"/>
  <c r="G149" i="12" l="1"/>
  <c r="H148" i="12"/>
  <c r="G150" i="12" l="1"/>
  <c r="H149" i="12"/>
  <c r="G151" i="12" l="1"/>
  <c r="H150" i="12"/>
  <c r="G152" i="12" l="1"/>
  <c r="H151" i="12"/>
  <c r="G153" i="12" l="1"/>
  <c r="H152" i="12"/>
  <c r="G154" i="12" l="1"/>
  <c r="H153" i="12"/>
  <c r="G155" i="12" l="1"/>
  <c r="H154" i="12"/>
  <c r="G156" i="12" l="1"/>
  <c r="H155" i="12"/>
  <c r="G157" i="12" l="1"/>
  <c r="H156" i="12"/>
  <c r="G158" i="12" l="1"/>
  <c r="H157" i="12"/>
  <c r="G159" i="12" l="1"/>
  <c r="H158" i="12"/>
  <c r="G160" i="12" l="1"/>
  <c r="H159" i="12"/>
  <c r="G161" i="12" l="1"/>
  <c r="H160" i="12"/>
  <c r="G162" i="12" l="1"/>
  <c r="H161" i="12"/>
  <c r="G163" i="12" l="1"/>
  <c r="H162" i="12"/>
  <c r="G164" i="12" l="1"/>
  <c r="H163" i="12"/>
  <c r="G165" i="12" l="1"/>
  <c r="H164" i="12"/>
  <c r="G166" i="12" l="1"/>
  <c r="H165" i="12"/>
  <c r="G167" i="12" l="1"/>
  <c r="H166" i="12"/>
  <c r="G168" i="12" l="1"/>
  <c r="H167" i="12"/>
  <c r="G169" i="12" l="1"/>
  <c r="H168" i="12"/>
  <c r="G170" i="12" l="1"/>
  <c r="H169" i="12"/>
  <c r="G171" i="12" l="1"/>
  <c r="H170" i="12"/>
  <c r="G172" i="12" l="1"/>
  <c r="H171" i="12"/>
  <c r="G173" i="12" l="1"/>
  <c r="H172" i="12"/>
  <c r="G174" i="12" l="1"/>
  <c r="H173" i="12"/>
  <c r="G175" i="12" l="1"/>
  <c r="H174" i="12"/>
  <c r="G176" i="12" l="1"/>
  <c r="H175" i="12"/>
  <c r="G177" i="12" l="1"/>
  <c r="H176" i="12"/>
  <c r="G178" i="12" l="1"/>
  <c r="H177" i="12"/>
  <c r="G179" i="12" l="1"/>
  <c r="H178" i="12"/>
  <c r="G180" i="12" l="1"/>
  <c r="H179" i="12"/>
  <c r="G181" i="12" l="1"/>
  <c r="H180" i="12"/>
  <c r="G182" i="12" l="1"/>
  <c r="H181" i="12"/>
  <c r="G183" i="12" l="1"/>
  <c r="H182" i="12"/>
  <c r="H183" i="12" l="1"/>
  <c r="G184" i="12"/>
  <c r="H184" i="12" l="1"/>
  <c r="G185" i="12"/>
  <c r="H185" i="12" l="1"/>
  <c r="G186" i="12"/>
  <c r="H186" i="12" l="1"/>
  <c r="G187" i="12"/>
  <c r="G188" i="12" l="1"/>
  <c r="H187" i="12"/>
  <c r="G189" i="12" l="1"/>
  <c r="H188" i="12"/>
  <c r="G190" i="12" l="1"/>
  <c r="H189" i="12"/>
  <c r="G191" i="12" l="1"/>
  <c r="H190" i="12"/>
  <c r="G192" i="12" l="1"/>
  <c r="H191" i="12"/>
  <c r="H192" i="12" l="1"/>
  <c r="G193" i="12"/>
  <c r="G194" i="12" l="1"/>
  <c r="H193" i="12"/>
  <c r="G195" i="12" l="1"/>
  <c r="H194" i="12"/>
  <c r="G196" i="12" l="1"/>
  <c r="H195" i="12"/>
  <c r="H196" i="12" l="1"/>
  <c r="G197" i="12"/>
  <c r="H197" i="12" l="1"/>
  <c r="G198" i="12"/>
  <c r="G199" i="12" l="1"/>
  <c r="H198" i="12"/>
  <c r="G200" i="12" l="1"/>
  <c r="H199" i="12"/>
  <c r="G201" i="12" l="1"/>
  <c r="H200" i="12"/>
  <c r="G202" i="12" l="1"/>
  <c r="H201" i="12"/>
  <c r="G203" i="12" l="1"/>
  <c r="H202" i="12"/>
  <c r="G204" i="12" l="1"/>
  <c r="H203" i="12"/>
  <c r="G205" i="12" l="1"/>
  <c r="H204" i="12"/>
  <c r="G206" i="12" l="1"/>
  <c r="H205" i="12"/>
  <c r="H206" i="12" l="1"/>
  <c r="G207" i="12"/>
  <c r="G208" i="12" l="1"/>
  <c r="H207" i="12"/>
  <c r="G209" i="12" l="1"/>
  <c r="H208" i="12"/>
  <c r="G210" i="12" l="1"/>
  <c r="H209" i="12"/>
  <c r="G211" i="12" l="1"/>
  <c r="H210" i="12"/>
  <c r="G212" i="12" l="1"/>
  <c r="H211" i="12"/>
  <c r="G213" i="12" l="1"/>
  <c r="H212" i="12"/>
  <c r="G214" i="12" l="1"/>
  <c r="H213" i="12"/>
  <c r="G215" i="12" l="1"/>
  <c r="H214" i="12"/>
  <c r="G216" i="12" l="1"/>
  <c r="H215" i="12"/>
  <c r="G217" i="12" l="1"/>
  <c r="H216" i="12"/>
  <c r="G218" i="12" l="1"/>
  <c r="H217" i="12"/>
  <c r="G219" i="12" l="1"/>
  <c r="H218" i="12"/>
  <c r="G220" i="12" l="1"/>
  <c r="H219" i="12"/>
  <c r="G221" i="12" l="1"/>
  <c r="H220" i="12"/>
  <c r="G222" i="12" l="1"/>
  <c r="H221" i="12"/>
  <c r="G223" i="12" l="1"/>
  <c r="H222" i="12"/>
  <c r="G224" i="12" l="1"/>
  <c r="H223" i="12"/>
  <c r="H224" i="12" l="1"/>
  <c r="G225" i="12"/>
  <c r="G226" i="12" l="1"/>
  <c r="H225" i="12"/>
  <c r="G227" i="12" l="1"/>
  <c r="H226" i="12"/>
  <c r="G228" i="12" l="1"/>
  <c r="H227" i="12"/>
  <c r="G229" i="12" l="1"/>
  <c r="H228" i="12"/>
  <c r="G230" i="12" l="1"/>
  <c r="H229" i="12"/>
  <c r="G231" i="12" l="1"/>
  <c r="H230" i="12"/>
  <c r="G232" i="12" l="1"/>
  <c r="H231" i="12"/>
  <c r="G233" i="12" l="1"/>
  <c r="H232" i="12"/>
  <c r="G234" i="12" l="1"/>
  <c r="H233" i="12"/>
  <c r="G235" i="12" l="1"/>
  <c r="H234" i="12"/>
  <c r="G236" i="12" l="1"/>
  <c r="H235" i="12"/>
  <c r="G237" i="12" l="1"/>
  <c r="H236" i="12"/>
  <c r="H237" i="12" l="1"/>
  <c r="G238" i="12"/>
  <c r="G239" i="12" l="1"/>
  <c r="H238" i="12"/>
  <c r="G240" i="12" l="1"/>
  <c r="H239" i="12"/>
  <c r="G241" i="12" l="1"/>
  <c r="H240" i="12"/>
  <c r="G242" i="12" l="1"/>
  <c r="H241" i="12"/>
  <c r="H242" i="12" l="1"/>
  <c r="G243" i="12"/>
  <c r="G244" i="12" l="1"/>
  <c r="H243" i="12"/>
  <c r="G245" i="12" l="1"/>
  <c r="H244" i="12"/>
  <c r="G246" i="12" l="1"/>
  <c r="H245" i="12"/>
  <c r="G247" i="12" l="1"/>
  <c r="H246" i="12"/>
  <c r="G248" i="12" l="1"/>
  <c r="H247" i="12"/>
  <c r="G249" i="12" l="1"/>
  <c r="H248" i="12"/>
  <c r="G250" i="12" l="1"/>
  <c r="H249" i="12"/>
  <c r="G251" i="12" l="1"/>
  <c r="H250" i="12"/>
  <c r="G252" i="12" l="1"/>
  <c r="H251" i="12"/>
  <c r="G253" i="12" l="1"/>
  <c r="H252" i="12"/>
  <c r="G254" i="12" l="1"/>
  <c r="H253" i="12"/>
  <c r="G255" i="12" l="1"/>
  <c r="H254" i="12"/>
  <c r="G256" i="12" l="1"/>
  <c r="H255" i="12"/>
  <c r="G257" i="12" l="1"/>
  <c r="H256" i="12"/>
  <c r="G258" i="12" l="1"/>
  <c r="H257" i="12"/>
  <c r="G259" i="12" l="1"/>
  <c r="H258" i="12"/>
  <c r="G260" i="12" l="1"/>
  <c r="H259" i="12"/>
  <c r="G261" i="12" l="1"/>
  <c r="H260" i="12"/>
  <c r="G262" i="12" l="1"/>
  <c r="H261" i="12"/>
  <c r="G263" i="12" l="1"/>
  <c r="H262" i="12"/>
  <c r="G264" i="12" l="1"/>
  <c r="H263" i="12"/>
  <c r="G265" i="12" l="1"/>
  <c r="H264" i="12"/>
  <c r="G266" i="12" l="1"/>
  <c r="H265" i="12"/>
  <c r="G267" i="12" l="1"/>
  <c r="H266" i="12"/>
  <c r="G268" i="12" l="1"/>
  <c r="H267" i="12"/>
  <c r="G269" i="12" l="1"/>
  <c r="H268" i="12"/>
  <c r="G270" i="12" l="1"/>
  <c r="H269" i="12"/>
  <c r="G271" i="12" l="1"/>
  <c r="H270" i="12"/>
  <c r="G272" i="12" l="1"/>
  <c r="H271" i="12"/>
  <c r="G273" i="12" l="1"/>
  <c r="H272" i="12"/>
  <c r="G274" i="12" l="1"/>
  <c r="H273" i="12"/>
  <c r="G275" i="12" l="1"/>
  <c r="H274" i="12"/>
  <c r="G276" i="12" l="1"/>
  <c r="H275" i="12"/>
  <c r="G277" i="12" l="1"/>
  <c r="H276" i="12"/>
  <c r="G278" i="12" l="1"/>
  <c r="H277" i="12"/>
  <c r="G279" i="12" l="1"/>
  <c r="H278" i="12"/>
  <c r="G280" i="12" l="1"/>
  <c r="H279" i="12"/>
  <c r="G281" i="12" l="1"/>
  <c r="H280" i="12"/>
  <c r="G282" i="12" l="1"/>
  <c r="H281" i="12"/>
  <c r="G283" i="12" l="1"/>
  <c r="H282" i="12"/>
  <c r="G284" i="12" l="1"/>
  <c r="H283" i="12"/>
  <c r="G285" i="12" l="1"/>
  <c r="H284" i="12"/>
  <c r="G286" i="12" l="1"/>
  <c r="H285" i="12"/>
  <c r="G287" i="12" l="1"/>
  <c r="H286" i="12"/>
  <c r="G288" i="12" l="1"/>
  <c r="H287" i="12"/>
  <c r="G289" i="12" l="1"/>
  <c r="H288" i="12"/>
  <c r="G290" i="12" l="1"/>
  <c r="H289" i="12"/>
  <c r="G291" i="12" l="1"/>
  <c r="H290" i="12"/>
  <c r="G292" i="12" l="1"/>
  <c r="H291" i="12"/>
  <c r="G293" i="12" l="1"/>
  <c r="H292" i="12"/>
  <c r="G294" i="12" l="1"/>
  <c r="H293" i="12"/>
  <c r="G295" i="12" l="1"/>
  <c r="H294" i="12"/>
  <c r="G296" i="12" l="1"/>
  <c r="H295" i="12"/>
  <c r="G297" i="12" l="1"/>
  <c r="H296" i="12"/>
  <c r="G298" i="12" l="1"/>
  <c r="H297" i="12"/>
  <c r="G299" i="12" l="1"/>
  <c r="H298" i="12"/>
  <c r="G300" i="12" l="1"/>
  <c r="H299" i="12"/>
  <c r="G301" i="12" l="1"/>
  <c r="H300" i="12"/>
  <c r="G302" i="12" l="1"/>
  <c r="H301" i="12"/>
  <c r="G303" i="12" l="1"/>
  <c r="H302" i="12"/>
  <c r="G304" i="12" l="1"/>
  <c r="H303" i="12"/>
  <c r="G305" i="12" l="1"/>
  <c r="H304" i="12"/>
  <c r="H305" i="12" l="1"/>
  <c r="G306" i="12"/>
  <c r="G307" i="12" l="1"/>
  <c r="H306" i="12"/>
  <c r="G308" i="12" l="1"/>
  <c r="H307" i="12"/>
  <c r="G309" i="12" l="1"/>
  <c r="H308" i="12"/>
  <c r="G310" i="12" l="1"/>
  <c r="H309" i="12"/>
  <c r="G311" i="12" l="1"/>
  <c r="H310" i="12"/>
  <c r="G312" i="12" l="1"/>
  <c r="H311" i="12"/>
  <c r="G313" i="12" l="1"/>
  <c r="H312" i="12"/>
  <c r="G314" i="12" l="1"/>
  <c r="H313" i="12"/>
  <c r="G315" i="12" l="1"/>
  <c r="H314" i="12"/>
  <c r="G316" i="12" l="1"/>
  <c r="H315" i="12"/>
  <c r="G317" i="12" l="1"/>
  <c r="H316" i="12"/>
  <c r="G318" i="12" l="1"/>
  <c r="H317" i="12"/>
  <c r="G319" i="12" l="1"/>
  <c r="H318" i="12"/>
  <c r="G320" i="12" l="1"/>
  <c r="H319" i="12"/>
  <c r="G321" i="12" l="1"/>
  <c r="H320" i="12"/>
  <c r="G322" i="12" l="1"/>
  <c r="H321" i="12"/>
  <c r="G323" i="12" l="1"/>
  <c r="H322" i="12"/>
  <c r="G324" i="12" l="1"/>
  <c r="H323" i="12"/>
  <c r="G325" i="12" l="1"/>
  <c r="H324" i="12"/>
  <c r="G326" i="12" l="1"/>
  <c r="H325" i="12"/>
  <c r="G327" i="12" l="1"/>
  <c r="H326" i="12"/>
  <c r="G328" i="12" l="1"/>
  <c r="H327" i="12"/>
  <c r="G329" i="12" l="1"/>
  <c r="H328" i="12"/>
  <c r="G330" i="12" l="1"/>
  <c r="H329" i="12"/>
  <c r="G331" i="12" l="1"/>
  <c r="H330" i="12"/>
  <c r="G332" i="12" l="1"/>
  <c r="H331" i="12"/>
  <c r="G333" i="12" l="1"/>
  <c r="H332" i="12"/>
  <c r="G334" i="12" l="1"/>
  <c r="H333" i="12"/>
  <c r="G335" i="12" l="1"/>
  <c r="H334" i="12"/>
  <c r="G336" i="12" l="1"/>
  <c r="H335" i="12"/>
  <c r="G337" i="12" l="1"/>
  <c r="H336" i="12"/>
  <c r="G338" i="12" l="1"/>
  <c r="H337" i="12"/>
  <c r="G339" i="12" l="1"/>
  <c r="H338" i="12"/>
  <c r="G340" i="12" l="1"/>
  <c r="H339" i="12"/>
  <c r="G341" i="12" l="1"/>
  <c r="H340" i="12"/>
  <c r="G342" i="12" l="1"/>
  <c r="H341" i="12"/>
  <c r="G343" i="12" l="1"/>
  <c r="H342" i="12"/>
  <c r="G344" i="12" l="1"/>
  <c r="H343" i="12"/>
  <c r="G345" i="12" l="1"/>
  <c r="H344" i="12"/>
  <c r="G346" i="12" l="1"/>
  <c r="H345" i="12"/>
  <c r="G347" i="12" l="1"/>
  <c r="H346" i="12"/>
  <c r="H347" i="12" l="1"/>
  <c r="G348" i="12"/>
  <c r="H348" i="12" l="1"/>
  <c r="G349" i="12"/>
  <c r="H349" i="12" l="1"/>
  <c r="G350" i="12"/>
  <c r="G351" i="12" l="1"/>
  <c r="H350" i="12"/>
  <c r="G352" i="12" l="1"/>
  <c r="H351" i="12"/>
  <c r="G353" i="12" l="1"/>
  <c r="H352" i="12"/>
  <c r="G354" i="12" l="1"/>
  <c r="H353" i="12"/>
  <c r="G355" i="12" l="1"/>
  <c r="H354" i="12"/>
  <c r="G356" i="12" l="1"/>
  <c r="H355" i="12"/>
  <c r="H356" i="12" l="1"/>
  <c r="G357" i="12"/>
  <c r="G358" i="12" l="1"/>
  <c r="H357" i="12"/>
  <c r="G359" i="12" l="1"/>
  <c r="H358" i="12"/>
  <c r="G360" i="12" l="1"/>
  <c r="H359" i="12"/>
  <c r="G361" i="12" l="1"/>
  <c r="H360" i="12"/>
  <c r="G362" i="12" l="1"/>
  <c r="H361" i="12"/>
  <c r="G363" i="12" l="1"/>
  <c r="H362" i="12"/>
  <c r="G364" i="12" l="1"/>
  <c r="H363" i="12"/>
  <c r="G365" i="12" l="1"/>
  <c r="H364" i="12"/>
  <c r="G366" i="12" l="1"/>
  <c r="H365" i="12"/>
  <c r="G367" i="12" l="1"/>
  <c r="H366" i="12"/>
  <c r="G368" i="12" l="1"/>
  <c r="H367" i="12"/>
  <c r="G369" i="12" l="1"/>
  <c r="H368" i="12"/>
  <c r="G370" i="12" l="1"/>
  <c r="H369" i="12"/>
  <c r="G371" i="12" l="1"/>
  <c r="H370" i="12"/>
  <c r="G372" i="12" l="1"/>
  <c r="H371" i="12"/>
  <c r="G373" i="12" l="1"/>
  <c r="H372" i="12"/>
  <c r="G374" i="12" l="1"/>
  <c r="H373" i="12"/>
  <c r="G375" i="12" l="1"/>
  <c r="H374" i="12"/>
  <c r="G376" i="12" l="1"/>
  <c r="H375" i="12"/>
  <c r="G377" i="12" l="1"/>
  <c r="H376" i="12"/>
  <c r="G378" i="12" l="1"/>
  <c r="H377" i="12"/>
  <c r="G379" i="12" l="1"/>
  <c r="H378" i="12"/>
  <c r="G380" i="12" l="1"/>
  <c r="H379" i="12"/>
  <c r="G381" i="12" l="1"/>
  <c r="H380" i="12"/>
  <c r="G382" i="12" l="1"/>
  <c r="H381" i="12"/>
  <c r="G383" i="12" l="1"/>
  <c r="H382" i="12"/>
  <c r="G384" i="12" l="1"/>
  <c r="H383" i="12"/>
  <c r="G385" i="12" l="1"/>
  <c r="H384" i="12"/>
  <c r="G386" i="12" l="1"/>
  <c r="H385" i="12"/>
  <c r="G387" i="12" l="1"/>
  <c r="H386" i="12"/>
  <c r="H387" i="12" l="1"/>
  <c r="G388" i="12"/>
  <c r="G389" i="12" l="1"/>
  <c r="H388" i="12"/>
  <c r="G390" i="12" l="1"/>
  <c r="H389" i="12"/>
  <c r="G391" i="12" l="1"/>
  <c r="H390" i="12"/>
  <c r="G392" i="12" l="1"/>
  <c r="H391" i="12"/>
  <c r="G393" i="12" l="1"/>
  <c r="H392" i="12"/>
  <c r="G394" i="12" l="1"/>
  <c r="H393" i="12"/>
  <c r="G395" i="12" l="1"/>
  <c r="H394" i="12"/>
  <c r="G396" i="12" l="1"/>
  <c r="H395" i="12"/>
  <c r="G397" i="12" l="1"/>
  <c r="H396" i="12"/>
  <c r="G398" i="12" l="1"/>
  <c r="H397" i="12"/>
  <c r="G399" i="12" l="1"/>
  <c r="H398" i="12"/>
  <c r="G400" i="12" l="1"/>
  <c r="H399" i="12"/>
  <c r="G401" i="12" l="1"/>
  <c r="H400" i="12"/>
  <c r="G402" i="12" l="1"/>
  <c r="H401" i="12"/>
  <c r="G403" i="12" l="1"/>
  <c r="H402" i="12"/>
  <c r="G404" i="12" l="1"/>
  <c r="H403" i="12"/>
  <c r="G405" i="12" l="1"/>
  <c r="H404" i="12"/>
  <c r="G406" i="12" l="1"/>
  <c r="H405" i="12"/>
  <c r="G407" i="12" l="1"/>
  <c r="H406" i="12"/>
  <c r="G408" i="12" l="1"/>
  <c r="H407" i="12"/>
  <c r="G409" i="12" l="1"/>
  <c r="H408" i="12"/>
  <c r="G410" i="12" l="1"/>
  <c r="H409" i="12"/>
  <c r="G411" i="12" l="1"/>
  <c r="H410" i="12"/>
  <c r="G412" i="12" l="1"/>
  <c r="H411" i="12"/>
  <c r="H412" i="12" l="1"/>
  <c r="G413" i="12"/>
  <c r="G414" i="12" l="1"/>
  <c r="H413" i="12"/>
  <c r="G415" i="12" l="1"/>
  <c r="H414" i="12"/>
  <c r="G416" i="12" l="1"/>
  <c r="H415" i="12"/>
  <c r="G417" i="12" l="1"/>
  <c r="H416" i="12"/>
  <c r="G418" i="12" l="1"/>
  <c r="H417" i="12"/>
  <c r="G419" i="12" l="1"/>
  <c r="H418" i="12"/>
  <c r="H419" i="12" l="1"/>
  <c r="G420" i="12"/>
  <c r="H420" i="12" l="1"/>
  <c r="G421" i="12"/>
  <c r="G422" i="12" l="1"/>
  <c r="H421" i="12"/>
  <c r="G423" i="12" l="1"/>
  <c r="H422" i="12"/>
  <c r="G424" i="12" l="1"/>
  <c r="H423" i="12"/>
  <c r="G425" i="12" l="1"/>
  <c r="H424" i="12"/>
  <c r="H425" i="12" l="1"/>
  <c r="G426" i="12"/>
  <c r="G427" i="12" l="1"/>
  <c r="H426" i="12"/>
  <c r="G428" i="12" l="1"/>
  <c r="H427" i="12"/>
  <c r="G429" i="12" l="1"/>
  <c r="H428" i="12"/>
  <c r="G430" i="12" l="1"/>
  <c r="H429" i="12"/>
  <c r="G431" i="12" l="1"/>
  <c r="H430" i="12"/>
  <c r="G432" i="12" l="1"/>
  <c r="H431" i="12"/>
  <c r="G433" i="12" l="1"/>
  <c r="H432" i="12"/>
  <c r="G434" i="12" l="1"/>
  <c r="H433" i="12"/>
  <c r="G435" i="12" l="1"/>
  <c r="H434" i="12"/>
  <c r="G436" i="12" l="1"/>
  <c r="H435" i="12"/>
  <c r="G437" i="12" l="1"/>
  <c r="H436" i="12"/>
  <c r="G438" i="12" l="1"/>
  <c r="H437" i="12"/>
  <c r="G439" i="12" l="1"/>
  <c r="H438" i="12"/>
  <c r="G440" i="12" l="1"/>
  <c r="H439" i="12"/>
  <c r="G441" i="12" l="1"/>
  <c r="H440" i="12"/>
  <c r="G442" i="12" l="1"/>
  <c r="H441" i="12"/>
  <c r="G443" i="12" l="1"/>
  <c r="H442" i="12"/>
  <c r="G444" i="12" l="1"/>
  <c r="H443" i="12"/>
  <c r="G445" i="12" l="1"/>
  <c r="H444" i="12"/>
  <c r="H445" i="12" l="1"/>
  <c r="G446" i="12"/>
  <c r="G447" i="12" l="1"/>
  <c r="H446" i="12"/>
  <c r="G448" i="12" l="1"/>
  <c r="H447" i="12"/>
  <c r="G449" i="12" l="1"/>
  <c r="H448" i="12"/>
  <c r="G450" i="12" l="1"/>
  <c r="H449" i="12"/>
  <c r="G451" i="12" l="1"/>
  <c r="H450" i="12"/>
  <c r="G452" i="12" l="1"/>
  <c r="H451" i="12"/>
  <c r="H452" i="12" l="1"/>
  <c r="G453" i="12"/>
  <c r="G454" i="12" l="1"/>
  <c r="H453" i="12"/>
  <c r="G455" i="12" l="1"/>
  <c r="H454" i="12"/>
  <c r="G456" i="12" l="1"/>
  <c r="H455" i="12"/>
  <c r="G457" i="12" l="1"/>
  <c r="H456" i="12"/>
  <c r="G458" i="12" l="1"/>
  <c r="H457" i="12"/>
  <c r="G459" i="12" l="1"/>
  <c r="H458" i="12"/>
  <c r="G460" i="12" l="1"/>
  <c r="H459" i="12"/>
  <c r="G461" i="12" l="1"/>
  <c r="H460" i="12"/>
  <c r="G462" i="12" l="1"/>
  <c r="H461" i="12"/>
  <c r="G463" i="12" l="1"/>
  <c r="H462" i="12"/>
  <c r="G464" i="12" l="1"/>
  <c r="H463" i="12"/>
  <c r="H464" i="12" l="1"/>
  <c r="G465" i="12"/>
  <c r="G466" i="12" l="1"/>
  <c r="H465" i="12"/>
  <c r="G467" i="12" l="1"/>
  <c r="H466" i="12"/>
  <c r="G468" i="12" l="1"/>
  <c r="H467" i="12"/>
  <c r="G469" i="12" l="1"/>
  <c r="H468" i="12"/>
  <c r="G470" i="12" l="1"/>
  <c r="H469" i="12"/>
  <c r="G471" i="12" l="1"/>
  <c r="H470" i="12"/>
  <c r="G472" i="12" l="1"/>
  <c r="H471" i="12"/>
  <c r="G473" i="12" l="1"/>
  <c r="H472" i="12"/>
  <c r="G474" i="12" l="1"/>
  <c r="H473" i="12"/>
  <c r="G475" i="12" l="1"/>
  <c r="H474" i="12"/>
  <c r="G476" i="12" l="1"/>
  <c r="H475" i="12"/>
  <c r="G477" i="12" l="1"/>
  <c r="H476" i="12"/>
  <c r="G478" i="12" l="1"/>
  <c r="H477" i="12"/>
  <c r="G479" i="12" l="1"/>
  <c r="H478" i="12"/>
  <c r="G480" i="12" l="1"/>
  <c r="H479" i="12"/>
  <c r="G481" i="12" l="1"/>
  <c r="H480" i="12"/>
  <c r="G482" i="12" l="1"/>
  <c r="H481" i="12"/>
  <c r="G483" i="12" l="1"/>
  <c r="H482" i="12"/>
  <c r="G484" i="12" l="1"/>
  <c r="H483" i="12"/>
  <c r="G485" i="12" l="1"/>
  <c r="H484" i="12"/>
  <c r="G486" i="12" l="1"/>
  <c r="H485" i="12"/>
  <c r="G487" i="12" l="1"/>
  <c r="H486" i="12"/>
  <c r="G488" i="12" l="1"/>
  <c r="H487" i="12"/>
  <c r="G489" i="12" l="1"/>
  <c r="H488" i="12"/>
  <c r="G490" i="12" l="1"/>
  <c r="H489" i="12"/>
  <c r="G491" i="12" l="1"/>
  <c r="H490" i="12"/>
  <c r="G492" i="12" l="1"/>
  <c r="H491" i="12"/>
  <c r="G493" i="12" l="1"/>
  <c r="H492" i="12"/>
  <c r="G494" i="12" l="1"/>
  <c r="H493" i="12"/>
  <c r="G495" i="12" l="1"/>
  <c r="H494" i="12"/>
  <c r="G496" i="12" l="1"/>
  <c r="H495" i="12"/>
  <c r="G497" i="12" l="1"/>
  <c r="H496" i="12"/>
  <c r="G498" i="12" l="1"/>
  <c r="H497" i="12"/>
  <c r="G499" i="12" l="1"/>
  <c r="H498" i="12"/>
  <c r="G500" i="12" l="1"/>
  <c r="H499" i="12"/>
  <c r="G501" i="12" l="1"/>
  <c r="H500" i="12"/>
  <c r="G502" i="12" l="1"/>
  <c r="H501" i="12"/>
  <c r="G503" i="12" l="1"/>
  <c r="H502" i="12"/>
  <c r="G504" i="12" l="1"/>
  <c r="H503" i="12"/>
  <c r="G505" i="12" l="1"/>
  <c r="H504" i="12"/>
  <c r="G506" i="12" l="1"/>
  <c r="H505" i="12"/>
  <c r="G507" i="12" l="1"/>
  <c r="H506" i="12"/>
  <c r="G508" i="12" l="1"/>
  <c r="H507" i="12"/>
  <c r="G509" i="12" l="1"/>
  <c r="H508" i="12"/>
  <c r="G510" i="12" l="1"/>
  <c r="H509" i="12"/>
  <c r="G511" i="12" l="1"/>
  <c r="H510" i="12"/>
  <c r="G512" i="12" l="1"/>
  <c r="H511" i="12"/>
  <c r="G513" i="12" l="1"/>
  <c r="H512" i="12"/>
  <c r="G514" i="12" l="1"/>
  <c r="H513" i="12"/>
  <c r="G515" i="12" l="1"/>
  <c r="H514" i="12"/>
  <c r="G516" i="12" l="1"/>
  <c r="H515" i="12"/>
  <c r="G517" i="12" l="1"/>
  <c r="H516" i="12"/>
  <c r="G518" i="12" l="1"/>
  <c r="H517" i="12"/>
  <c r="G519" i="12" l="1"/>
  <c r="H518" i="12"/>
  <c r="G520" i="12" l="1"/>
  <c r="H519" i="12"/>
  <c r="G521" i="12" l="1"/>
  <c r="H520" i="12"/>
  <c r="G522" i="12" l="1"/>
  <c r="H521" i="12"/>
  <c r="G523" i="12" l="1"/>
  <c r="H522" i="12"/>
  <c r="G524" i="12" l="1"/>
  <c r="H523" i="12"/>
  <c r="G525" i="12" l="1"/>
  <c r="H524" i="12"/>
  <c r="G526" i="12" l="1"/>
  <c r="H525" i="12"/>
  <c r="G527" i="12" l="1"/>
  <c r="H526" i="12"/>
  <c r="G528" i="12" l="1"/>
  <c r="H527" i="12"/>
  <c r="G529" i="12" l="1"/>
  <c r="H528" i="12"/>
  <c r="G530" i="12" l="1"/>
  <c r="H529" i="12"/>
  <c r="G531" i="12" l="1"/>
  <c r="H530" i="12"/>
  <c r="G532" i="12" l="1"/>
  <c r="H531" i="12"/>
  <c r="G533" i="12" l="1"/>
  <c r="H532" i="12"/>
  <c r="G534" i="12" l="1"/>
  <c r="H533" i="12"/>
  <c r="G535" i="12" l="1"/>
  <c r="H534" i="12"/>
  <c r="G536" i="12" l="1"/>
  <c r="H535" i="12"/>
  <c r="G537" i="12" l="1"/>
  <c r="H536" i="12"/>
  <c r="G538" i="12" l="1"/>
  <c r="H537" i="12"/>
  <c r="G539" i="12" l="1"/>
  <c r="H538" i="12"/>
  <c r="G540" i="12" l="1"/>
  <c r="H539" i="12"/>
  <c r="G541" i="12" l="1"/>
  <c r="H540" i="12"/>
  <c r="G542" i="12" l="1"/>
  <c r="H541" i="12"/>
  <c r="G543" i="12" l="1"/>
  <c r="H542" i="12"/>
  <c r="G544" i="12" l="1"/>
  <c r="H543" i="12"/>
  <c r="G545" i="12" l="1"/>
  <c r="H544" i="12"/>
  <c r="G546" i="12" l="1"/>
  <c r="H545" i="12"/>
  <c r="H546" i="12" l="1"/>
  <c r="G547" i="12"/>
  <c r="G548" i="12" l="1"/>
  <c r="H547" i="12"/>
  <c r="H548" i="12" l="1"/>
  <c r="G549" i="12"/>
  <c r="G550" i="12" l="1"/>
  <c r="H549" i="12"/>
  <c r="G551" i="12" l="1"/>
  <c r="H550" i="12"/>
  <c r="G552" i="12" l="1"/>
  <c r="H551" i="12"/>
  <c r="G553" i="12" l="1"/>
  <c r="H552" i="12"/>
  <c r="G554" i="12" l="1"/>
  <c r="H553" i="12"/>
  <c r="G555" i="12" l="1"/>
  <c r="H554" i="12"/>
  <c r="G556" i="12" l="1"/>
  <c r="H555" i="12"/>
  <c r="G557" i="12" l="1"/>
  <c r="H556" i="12"/>
  <c r="G558" i="12" l="1"/>
  <c r="H557" i="12"/>
  <c r="G559" i="12" l="1"/>
  <c r="H558" i="12"/>
  <c r="H559" i="12" l="1"/>
  <c r="G560" i="12"/>
  <c r="G561" i="12" l="1"/>
  <c r="H560" i="12"/>
  <c r="G562" i="12" l="1"/>
  <c r="H561" i="12"/>
  <c r="G563" i="12" l="1"/>
  <c r="H562" i="12"/>
  <c r="G564" i="12" l="1"/>
  <c r="H563" i="12"/>
  <c r="G565" i="12" l="1"/>
  <c r="H564" i="12"/>
  <c r="G566" i="12" l="1"/>
  <c r="H565" i="12"/>
  <c r="G567" i="12" l="1"/>
  <c r="H566" i="12"/>
  <c r="G568" i="12" l="1"/>
  <c r="H567" i="12"/>
  <c r="G569" i="12" l="1"/>
  <c r="H568" i="12"/>
  <c r="H569" i="12" l="1"/>
  <c r="G570" i="12"/>
  <c r="G571" i="12" l="1"/>
  <c r="H570" i="12"/>
  <c r="H571" i="12" l="1"/>
  <c r="G572" i="12"/>
  <c r="G573" i="12" l="1"/>
  <c r="H572" i="12"/>
  <c r="G574" i="12" l="1"/>
  <c r="H573" i="12"/>
  <c r="G575" i="12" l="1"/>
  <c r="H574" i="12"/>
  <c r="G576" i="12" l="1"/>
  <c r="H575" i="12"/>
  <c r="G577" i="12" l="1"/>
  <c r="H576" i="12"/>
  <c r="G578" i="12" l="1"/>
  <c r="H577" i="12"/>
  <c r="G579" i="12" l="1"/>
  <c r="H578" i="12"/>
  <c r="G580" i="12" l="1"/>
  <c r="H579" i="12"/>
  <c r="H580" i="12" l="1"/>
  <c r="G581" i="12"/>
  <c r="G582" i="12" l="1"/>
  <c r="H581" i="12"/>
  <c r="G583" i="12" l="1"/>
  <c r="H582" i="12"/>
  <c r="G584" i="12" l="1"/>
  <c r="H583" i="12"/>
  <c r="G585" i="12" l="1"/>
  <c r="H584" i="12"/>
  <c r="G586" i="12" l="1"/>
  <c r="H585" i="12"/>
  <c r="H586" i="12" l="1"/>
  <c r="G587" i="12"/>
  <c r="H587" i="12" l="1"/>
  <c r="G588" i="12"/>
  <c r="H588" i="12" l="1"/>
  <c r="G589" i="12"/>
  <c r="H589" i="12" l="1"/>
  <c r="G590" i="12"/>
  <c r="H590" i="12" l="1"/>
  <c r="G591" i="12"/>
  <c r="G592" i="12" s="1"/>
  <c r="H592" i="12" l="1"/>
  <c r="G593" i="12"/>
  <c r="H591" i="12"/>
  <c r="H593" i="12" l="1"/>
  <c r="G594" i="12"/>
  <c r="H594" i="12" l="1"/>
  <c r="G595" i="12"/>
  <c r="H595" i="12" l="1"/>
  <c r="G596" i="12"/>
  <c r="H596" i="12" l="1"/>
  <c r="G597" i="12"/>
  <c r="H597" i="12" l="1"/>
  <c r="G598" i="12"/>
  <c r="H598" i="12" l="1"/>
  <c r="G599" i="12"/>
  <c r="H599" i="12" l="1"/>
  <c r="G600" i="12"/>
  <c r="G601" i="12" l="1"/>
  <c r="G602" i="12" s="1"/>
  <c r="H600" i="12"/>
  <c r="H602" i="12" l="1"/>
  <c r="G603" i="12"/>
  <c r="H601" i="12"/>
  <c r="H603" i="12" l="1"/>
  <c r="G604" i="12"/>
  <c r="H604" i="12" l="1"/>
  <c r="G605" i="12"/>
  <c r="H605" i="12" l="1"/>
  <c r="G606" i="12"/>
  <c r="H606" i="12" l="1"/>
  <c r="G607" i="12"/>
  <c r="H607" i="12" l="1"/>
  <c r="G608" i="12"/>
  <c r="H608" i="12" l="1"/>
  <c r="G609" i="12"/>
  <c r="H609" i="12" l="1"/>
  <c r="G610" i="12"/>
  <c r="H610" i="12" l="1"/>
  <c r="G611" i="12"/>
  <c r="H611" i="12" l="1"/>
  <c r="G612" i="12"/>
  <c r="H612" i="12" l="1"/>
  <c r="G613" i="12"/>
  <c r="H613" i="12" l="1"/>
  <c r="G614" i="12"/>
  <c r="H614" i="12" l="1"/>
  <c r="G615" i="12"/>
  <c r="H615" i="12" l="1"/>
  <c r="G616" i="12"/>
  <c r="H616" i="12" l="1"/>
  <c r="G617" i="12"/>
  <c r="H617" i="12" l="1"/>
  <c r="G618" i="12"/>
  <c r="H618" i="12" l="1"/>
  <c r="G619" i="12"/>
  <c r="H619" i="12" l="1"/>
  <c r="G620" i="12"/>
  <c r="H620" i="12" l="1"/>
  <c r="G621" i="12"/>
  <c r="H621" i="12" l="1"/>
  <c r="G622" i="12"/>
  <c r="H622" i="12" l="1"/>
  <c r="G623" i="12"/>
  <c r="H623" i="12" l="1"/>
  <c r="G624" i="12"/>
  <c r="H624" i="12" l="1"/>
  <c r="G625" i="12"/>
  <c r="H625" i="12" l="1"/>
  <c r="G626" i="12"/>
  <c r="H626" i="12" l="1"/>
  <c r="G627" i="12"/>
  <c r="G628" i="12" s="1"/>
  <c r="H628" i="12" l="1"/>
  <c r="G629" i="12"/>
  <c r="G630" i="12" s="1"/>
  <c r="H627" i="12"/>
  <c r="H630" i="12" l="1"/>
  <c r="G631" i="12"/>
  <c r="H629" i="12"/>
  <c r="H631" i="12" l="1"/>
  <c r="G632" i="12"/>
  <c r="G633" i="12" l="1"/>
  <c r="H632" i="12"/>
  <c r="H633" i="12" l="1"/>
  <c r="G634" i="12"/>
  <c r="H634" i="12" l="1"/>
  <c r="G635" i="12"/>
  <c r="H635" i="12" l="1"/>
  <c r="G636" i="12"/>
  <c r="H636" i="12" l="1"/>
  <c r="G637" i="12"/>
  <c r="H637" i="12" l="1"/>
  <c r="G638" i="12"/>
  <c r="H638" i="12" l="1"/>
  <c r="G639" i="12"/>
  <c r="H639" i="12" l="1"/>
  <c r="G640" i="12"/>
  <c r="H640" i="12" l="1"/>
  <c r="G641" i="12"/>
  <c r="H641" i="12" l="1"/>
  <c r="G642" i="12"/>
  <c r="H642" i="12" l="1"/>
  <c r="G643" i="12"/>
  <c r="H643" i="12" l="1"/>
  <c r="G644" i="12"/>
  <c r="H644" i="12" l="1"/>
  <c r="G645" i="12"/>
  <c r="H645" i="12" l="1"/>
  <c r="G646" i="12"/>
  <c r="H646" i="12" l="1"/>
  <c r="G647" i="12"/>
  <c r="H647" i="12" l="1"/>
  <c r="G648" i="12"/>
  <c r="H648" i="12" l="1"/>
  <c r="G649" i="12"/>
  <c r="H649" i="12" l="1"/>
  <c r="G650" i="12"/>
  <c r="H650" i="12" l="1"/>
  <c r="G651" i="12"/>
  <c r="H651" i="12" l="1"/>
  <c r="G652" i="12"/>
  <c r="H652" i="12" l="1"/>
  <c r="G653" i="12"/>
  <c r="H653" i="12" l="1"/>
  <c r="G654" i="12"/>
  <c r="H654" i="12" l="1"/>
  <c r="G655" i="12"/>
  <c r="H655" i="12" l="1"/>
  <c r="G656" i="12"/>
  <c r="H656" i="12" l="1"/>
  <c r="G657" i="12"/>
  <c r="H657" i="12" l="1"/>
  <c r="G658" i="12"/>
  <c r="H658" i="12" l="1"/>
  <c r="G659" i="12"/>
  <c r="H659" i="12" l="1"/>
  <c r="G660" i="12"/>
  <c r="H660" i="12" l="1"/>
  <c r="G661" i="12"/>
  <c r="H661" i="12" l="1"/>
  <c r="G662" i="12"/>
  <c r="H662" i="12" l="1"/>
  <c r="G663" i="12"/>
  <c r="H663" i="12" l="1"/>
  <c r="G664" i="12"/>
  <c r="H664" i="12" l="1"/>
  <c r="G665" i="12"/>
  <c r="H665" i="12" l="1"/>
  <c r="G666" i="12"/>
  <c r="H666" i="12" l="1"/>
  <c r="G667" i="12"/>
  <c r="H667" i="12" l="1"/>
  <c r="G668" i="12"/>
  <c r="H668" i="12" l="1"/>
  <c r="G669" i="12"/>
  <c r="H669" i="12" l="1"/>
  <c r="G670" i="12"/>
  <c r="H670" i="12" l="1"/>
  <c r="G671" i="12"/>
  <c r="H671" i="12" l="1"/>
  <c r="G672" i="12"/>
  <c r="H672" i="12" l="1"/>
  <c r="G673" i="12"/>
  <c r="H673" i="12" l="1"/>
  <c r="G674" i="12"/>
  <c r="H674" i="12" l="1"/>
  <c r="G675" i="12"/>
  <c r="H675" i="12" l="1"/>
  <c r="G676" i="12"/>
  <c r="H676" i="12" l="1"/>
  <c r="G677" i="12"/>
  <c r="H677" i="12" l="1"/>
  <c r="G678" i="12"/>
  <c r="H678" i="12" l="1"/>
  <c r="G679" i="12"/>
  <c r="G680" i="12" l="1"/>
  <c r="H679" i="12"/>
  <c r="H680" i="12" l="1"/>
  <c r="G681" i="12"/>
  <c r="H681" i="12" l="1"/>
  <c r="G682" i="12"/>
  <c r="H682" i="12" l="1"/>
  <c r="G683" i="12"/>
  <c r="H683" i="12" l="1"/>
  <c r="G684" i="12"/>
  <c r="H684" i="12" l="1"/>
  <c r="G685" i="12"/>
  <c r="H685" i="12" l="1"/>
  <c r="G686" i="12"/>
  <c r="H686" i="12" l="1"/>
  <c r="G687" i="12"/>
  <c r="H687" i="12" l="1"/>
  <c r="G688" i="12"/>
  <c r="H688" i="12" l="1"/>
  <c r="G689" i="12"/>
  <c r="H689" i="12" l="1"/>
  <c r="G690" i="12"/>
  <c r="H690" i="12" l="1"/>
  <c r="G691" i="12"/>
  <c r="H691" i="12" l="1"/>
  <c r="G692" i="12"/>
  <c r="H692" i="12" l="1"/>
  <c r="G693" i="12"/>
  <c r="H693" i="12" l="1"/>
  <c r="G694" i="12"/>
  <c r="H694" i="12" l="1"/>
  <c r="G695" i="12"/>
  <c r="H695" i="12" l="1"/>
  <c r="G696" i="12"/>
  <c r="H696" i="12" l="1"/>
  <c r="G697" i="12"/>
  <c r="H697" i="12" l="1"/>
  <c r="G698" i="12"/>
  <c r="G699" i="12" l="1"/>
  <c r="H698" i="12"/>
  <c r="H699" i="12" l="1"/>
  <c r="G700" i="12"/>
  <c r="H700" i="12" l="1"/>
  <c r="G701" i="12"/>
  <c r="G702" i="12" l="1"/>
  <c r="H701" i="12"/>
  <c r="G703" i="12" l="1"/>
  <c r="H702" i="12"/>
  <c r="H703" i="12" l="1"/>
  <c r="G704" i="12"/>
  <c r="H704" i="12" l="1"/>
  <c r="G705" i="12"/>
  <c r="G706" i="12" l="1"/>
  <c r="H705" i="12"/>
  <c r="H706" i="12" l="1"/>
  <c r="G707" i="12"/>
  <c r="H707" i="12" l="1"/>
  <c r="G708" i="12"/>
  <c r="H708" i="12" l="1"/>
  <c r="G709" i="12"/>
  <c r="H709" i="12" l="1"/>
  <c r="G710" i="12"/>
  <c r="H710" i="12" l="1"/>
  <c r="G711" i="12"/>
  <c r="H711" i="12" l="1"/>
  <c r="G712" i="12"/>
  <c r="H712" i="12" l="1"/>
  <c r="G713" i="12"/>
  <c r="H713" i="12" l="1"/>
  <c r="G714" i="12"/>
  <c r="H714" i="12" l="1"/>
  <c r="G715" i="12"/>
  <c r="H715" i="12" l="1"/>
  <c r="G716" i="12"/>
  <c r="H716" i="12" l="1"/>
  <c r="G717" i="12"/>
  <c r="H717" i="12" l="1"/>
  <c r="G718" i="12"/>
  <c r="H718" i="12" l="1"/>
  <c r="G719" i="12"/>
  <c r="H719" i="12" l="1"/>
  <c r="G720" i="12"/>
  <c r="H720" i="12" l="1"/>
  <c r="G721" i="12"/>
  <c r="H721" i="12" l="1"/>
  <c r="G722" i="12"/>
  <c r="H722" i="12" l="1"/>
  <c r="G723" i="12"/>
  <c r="H723" i="12" l="1"/>
  <c r="G724" i="12"/>
  <c r="H724" i="12" l="1"/>
  <c r="G725" i="12"/>
  <c r="H725" i="12" l="1"/>
  <c r="G726" i="12"/>
  <c r="H726" i="12" l="1"/>
  <c r="G727" i="12"/>
  <c r="H727" i="12" l="1"/>
  <c r="G728" i="12"/>
  <c r="G729" i="12" l="1"/>
  <c r="H728" i="12"/>
  <c r="G730" i="12" l="1"/>
  <c r="H729" i="12"/>
  <c r="H730" i="12" l="1"/>
  <c r="G731" i="12"/>
  <c r="H731" i="12" l="1"/>
  <c r="G732" i="12"/>
  <c r="H732" i="12" l="1"/>
  <c r="G733" i="12"/>
  <c r="H733" i="12" l="1"/>
  <c r="G734" i="12"/>
  <c r="G735" i="12" l="1"/>
  <c r="H734" i="12"/>
  <c r="H735" i="12" l="1"/>
  <c r="G736" i="12"/>
  <c r="H736" i="12" l="1"/>
  <c r="G737" i="12"/>
  <c r="H737" i="12" l="1"/>
  <c r="G738" i="12"/>
  <c r="G739" i="12" l="1"/>
  <c r="H738" i="12"/>
  <c r="G740" i="12" l="1"/>
  <c r="H739" i="12"/>
  <c r="H740" i="12" l="1"/>
  <c r="G741" i="12"/>
  <c r="H741" i="12" l="1"/>
  <c r="G742" i="12"/>
  <c r="H742" i="12" l="1"/>
  <c r="G743" i="12"/>
  <c r="H743" i="12" l="1"/>
  <c r="G744" i="12"/>
  <c r="H744" i="12" l="1"/>
  <c r="G745" i="12"/>
  <c r="G746" i="12" l="1"/>
  <c r="H745" i="12"/>
  <c r="H746" i="12" l="1"/>
  <c r="G747" i="12"/>
  <c r="H747" i="12" l="1"/>
  <c r="G748" i="12"/>
  <c r="H748" i="12" l="1"/>
  <c r="G749" i="12"/>
  <c r="H749" i="12" l="1"/>
  <c r="G750" i="12"/>
  <c r="H750" i="12" l="1"/>
  <c r="G751" i="12"/>
  <c r="H751" i="12" l="1"/>
  <c r="G752" i="12"/>
  <c r="H752" i="12" l="1"/>
  <c r="G753" i="12"/>
  <c r="H753" i="12" l="1"/>
  <c r="G754" i="12"/>
  <c r="H754" i="12" s="1"/>
</calcChain>
</file>

<file path=xl/sharedStrings.xml><?xml version="1.0" encoding="utf-8"?>
<sst xmlns="http://schemas.openxmlformats.org/spreadsheetml/2006/main" count="1971" uniqueCount="140">
  <si>
    <t>Expense</t>
  </si>
  <si>
    <t>Amount per installment</t>
  </si>
  <si>
    <t>No. of installments</t>
  </si>
  <si>
    <t>Amount(in $)</t>
  </si>
  <si>
    <t>Amount(in Rs.)</t>
  </si>
  <si>
    <t>1st year</t>
  </si>
  <si>
    <t>2nd year</t>
  </si>
  <si>
    <t>Weekly amount</t>
  </si>
  <si>
    <t>Monthly</t>
  </si>
  <si>
    <t>W. A. in Rs.</t>
  </si>
  <si>
    <t>M. A. in Rs.</t>
  </si>
  <si>
    <t>Necessary</t>
  </si>
  <si>
    <t>Yearly necessary</t>
  </si>
  <si>
    <t>Recover</t>
  </si>
  <si>
    <t>in 2 years</t>
  </si>
  <si>
    <t>Loan amt.</t>
  </si>
  <si>
    <t>Tuition fees</t>
  </si>
  <si>
    <t>To earn</t>
  </si>
  <si>
    <t>AUD</t>
  </si>
  <si>
    <t>Rent</t>
  </si>
  <si>
    <t>Earned(in $)</t>
  </si>
  <si>
    <t>Interest rate</t>
  </si>
  <si>
    <t>Grocery</t>
  </si>
  <si>
    <t>Earned(in Rs.)</t>
  </si>
  <si>
    <t>Hours</t>
  </si>
  <si>
    <t>Eat out</t>
  </si>
  <si>
    <t>Hourly rate($)</t>
  </si>
  <si>
    <t>Clothes</t>
  </si>
  <si>
    <t>Travel</t>
  </si>
  <si>
    <t>Flight</t>
  </si>
  <si>
    <t>Visa charges</t>
  </si>
  <si>
    <t>Miscellaneous</t>
  </si>
  <si>
    <t>Total</t>
  </si>
  <si>
    <t>Amount($)</t>
  </si>
  <si>
    <t>AUD($)</t>
  </si>
  <si>
    <t>Amount(Rs.)</t>
  </si>
  <si>
    <t>Date</t>
  </si>
  <si>
    <t>Passport</t>
  </si>
  <si>
    <t>Ielts coaching</t>
  </si>
  <si>
    <t>Ielts exam</t>
  </si>
  <si>
    <t>Documents update</t>
  </si>
  <si>
    <t>Affidavit</t>
  </si>
  <si>
    <t>Net worth Certificate</t>
  </si>
  <si>
    <t>Min. Balance</t>
  </si>
  <si>
    <t>Loan Insurance</t>
  </si>
  <si>
    <t>Misc</t>
  </si>
  <si>
    <t>Medical</t>
  </si>
  <si>
    <t>Bag</t>
  </si>
  <si>
    <t>Course</t>
  </si>
  <si>
    <t>Luggage</t>
  </si>
  <si>
    <t>Vaccum bags</t>
  </si>
  <si>
    <t>Pendrive</t>
  </si>
  <si>
    <t>Room Accessories</t>
  </si>
  <si>
    <t>Specs</t>
  </si>
  <si>
    <t>Zudio</t>
  </si>
  <si>
    <t>Clothes(R.Tape)</t>
  </si>
  <si>
    <t>Clothes(Suvidha)</t>
  </si>
  <si>
    <t>Currency</t>
  </si>
  <si>
    <t>Forex card</t>
  </si>
  <si>
    <t>Accessories</t>
  </si>
  <si>
    <t>Blazer</t>
  </si>
  <si>
    <t>T-Shirts</t>
  </si>
  <si>
    <t>Clothes(Kapsons)</t>
  </si>
  <si>
    <t>Shoes</t>
  </si>
  <si>
    <t>Jockey</t>
  </si>
  <si>
    <t>Stamp</t>
  </si>
  <si>
    <t>Cap(Puma)</t>
  </si>
  <si>
    <t>Shorts(Puma)</t>
  </si>
  <si>
    <t>Medicines</t>
  </si>
  <si>
    <t>Mask</t>
  </si>
  <si>
    <t>Neck pillow</t>
  </si>
  <si>
    <t>Bond</t>
  </si>
  <si>
    <t>Loan Int.</t>
  </si>
  <si>
    <t>Duty free</t>
  </si>
  <si>
    <t>Visa</t>
  </si>
  <si>
    <t xml:space="preserve">Total </t>
  </si>
  <si>
    <t>Year</t>
  </si>
  <si>
    <t>Paid through</t>
  </si>
  <si>
    <t>Government tax</t>
  </si>
  <si>
    <t>Fam</t>
  </si>
  <si>
    <t>OSHC</t>
  </si>
  <si>
    <t>Fees</t>
  </si>
  <si>
    <t>Loan</t>
  </si>
  <si>
    <t>Ssaf</t>
  </si>
  <si>
    <t>Me</t>
  </si>
  <si>
    <t>Loan amount</t>
  </si>
  <si>
    <t>amount</t>
  </si>
  <si>
    <t>interest</t>
  </si>
  <si>
    <t>value</t>
  </si>
  <si>
    <t>withdraw</t>
  </si>
  <si>
    <t>add</t>
  </si>
  <si>
    <t>new amount</t>
  </si>
  <si>
    <t>new amount n</t>
  </si>
  <si>
    <t>value n</t>
  </si>
  <si>
    <t>max</t>
  </si>
  <si>
    <t>AUD$ (after tax)</t>
  </si>
  <si>
    <t>N/A</t>
  </si>
  <si>
    <t>Month</t>
  </si>
  <si>
    <t>Amount</t>
  </si>
  <si>
    <t>In savings</t>
  </si>
  <si>
    <t>Savings Spent</t>
  </si>
  <si>
    <t>Savings Returned</t>
  </si>
  <si>
    <t>Optus</t>
  </si>
  <si>
    <t>Shopping</t>
  </si>
  <si>
    <t>optus</t>
  </si>
  <si>
    <t>Bank Deposit</t>
  </si>
  <si>
    <t>Gift</t>
  </si>
  <si>
    <t>Spend</t>
  </si>
  <si>
    <t>Quota</t>
  </si>
  <si>
    <t>left</t>
  </si>
  <si>
    <t>Budget</t>
  </si>
  <si>
    <t>Days</t>
  </si>
  <si>
    <t>None</t>
  </si>
  <si>
    <t>none</t>
  </si>
  <si>
    <t>Average daily food</t>
  </si>
  <si>
    <t>Row Labels</t>
  </si>
  <si>
    <t>Sum of M. A. in Rs.</t>
  </si>
  <si>
    <t>Grand Total</t>
  </si>
  <si>
    <t>Sum of Amount($)</t>
  </si>
  <si>
    <t>2022</t>
  </si>
  <si>
    <t>Oct</t>
  </si>
  <si>
    <t>2023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</si>
  <si>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</si>
  <si>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</si>
  <si>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</si>
  <si>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</si>
  <si>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</si>
  <si>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</si>
  <si>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</si>
  <si>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</si>
  <si>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</si>
  <si>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</si>
  <si>
    <t>2024</t>
  </si>
  <si>
    <t>Sum of Amount(Rs.)</t>
  </si>
  <si>
    <t>Sum of Spend</t>
  </si>
  <si>
    <t>Jan</t>
  </si>
  <si>
    <t xml:space="preserve">  </t>
  </si>
  <si>
    <t>Family</t>
  </si>
  <si>
    <t xml:space="preserve">Shopping </t>
  </si>
  <si>
    <t xml:space="preserve">Fees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</si>
</sst>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6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6"/>
      <color theme="8" tint="-0.249977111117893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16"/>
      <color rgb="FF7030A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A64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4" xfId="0" applyFont="1" applyBorder="1"/>
    <xf numFmtId="0" fontId="4" fillId="0" borderId="6" xfId="0" applyFont="1" applyBorder="1"/>
    <xf numFmtId="1" fontId="4" fillId="0" borderId="5" xfId="0" applyNumberFormat="1" applyFont="1" applyBorder="1"/>
    <xf numFmtId="0" fontId="3" fillId="0" borderId="0" xfId="0" applyFont="1"/>
    <xf numFmtId="0" fontId="1" fillId="0" borderId="0" xfId="0" applyFont="1"/>
    <xf numFmtId="0" fontId="3" fillId="0" borderId="7" xfId="0" applyFont="1" applyBorder="1"/>
    <xf numFmtId="1" fontId="4" fillId="0" borderId="8" xfId="0" applyNumberFormat="1" applyFont="1" applyBorder="1"/>
    <xf numFmtId="0" fontId="4" fillId="0" borderId="0" xfId="0" applyFont="1"/>
    <xf numFmtId="0" fontId="4" fillId="0" borderId="8" xfId="0" applyFont="1" applyBorder="1"/>
    <xf numFmtId="0" fontId="3" fillId="0" borderId="9" xfId="0" applyFont="1" applyBorder="1"/>
    <xf numFmtId="0" fontId="4" fillId="0" borderId="10" xfId="0" applyFont="1" applyBorder="1"/>
    <xf numFmtId="0" fontId="4" fillId="0" borderId="10" xfId="0" applyFont="1" applyBorder="1" applyAlignment="1">
      <alignment horizontal="right"/>
    </xf>
    <xf numFmtId="0" fontId="4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1" fontId="1" fillId="0" borderId="15" xfId="0" applyNumberFormat="1" applyFont="1" applyBorder="1"/>
    <xf numFmtId="0" fontId="0" fillId="0" borderId="15" xfId="0" applyBorder="1"/>
    <xf numFmtId="1" fontId="0" fillId="0" borderId="15" xfId="0" applyNumberFormat="1" applyBorder="1"/>
    <xf numFmtId="0" fontId="5" fillId="0" borderId="12" xfId="0" applyFont="1" applyBorder="1" applyAlignment="1">
      <alignment wrapText="1"/>
    </xf>
    <xf numFmtId="0" fontId="5" fillId="0" borderId="12" xfId="0" applyFont="1" applyBorder="1"/>
    <xf numFmtId="0" fontId="6" fillId="0" borderId="25" xfId="0" applyFont="1" applyBorder="1" applyAlignment="1">
      <alignment wrapText="1"/>
    </xf>
    <xf numFmtId="0" fontId="6" fillId="0" borderId="25" xfId="0" applyFont="1" applyBorder="1"/>
    <xf numFmtId="0" fontId="6" fillId="0" borderId="15" xfId="0" applyFont="1" applyBorder="1"/>
    <xf numFmtId="0" fontId="6" fillId="0" borderId="24" xfId="0" applyFont="1" applyBorder="1"/>
    <xf numFmtId="0" fontId="4" fillId="0" borderId="5" xfId="0" applyFont="1" applyBorder="1"/>
    <xf numFmtId="9" fontId="4" fillId="0" borderId="0" xfId="0" applyNumberFormat="1" applyFont="1"/>
    <xf numFmtId="0" fontId="6" fillId="0" borderId="26" xfId="0" applyFont="1" applyBorder="1"/>
    <xf numFmtId="0" fontId="6" fillId="0" borderId="16" xfId="0" applyFont="1" applyBorder="1"/>
    <xf numFmtId="0" fontId="6" fillId="0" borderId="27" xfId="0" applyFont="1" applyBorder="1"/>
    <xf numFmtId="0" fontId="6" fillId="0" borderId="28" xfId="0" applyFont="1" applyBorder="1"/>
    <xf numFmtId="0" fontId="5" fillId="0" borderId="15" xfId="0" applyFont="1" applyBorder="1"/>
    <xf numFmtId="0" fontId="5" fillId="0" borderId="0" xfId="0" applyFont="1"/>
    <xf numFmtId="0" fontId="0" fillId="0" borderId="28" xfId="0" applyBorder="1"/>
    <xf numFmtId="0" fontId="7" fillId="0" borderId="0" xfId="0" applyFont="1"/>
    <xf numFmtId="14" fontId="0" fillId="0" borderId="0" xfId="0" applyNumberFormat="1"/>
    <xf numFmtId="16" fontId="0" fillId="0" borderId="15" xfId="0" applyNumberFormat="1" applyBorder="1"/>
    <xf numFmtId="0" fontId="9" fillId="0" borderId="15" xfId="0" applyFont="1" applyBorder="1"/>
    <xf numFmtId="0" fontId="12" fillId="2" borderId="15" xfId="0" applyFont="1" applyFill="1" applyBorder="1"/>
    <xf numFmtId="16" fontId="11" fillId="2" borderId="15" xfId="0" applyNumberFormat="1" applyFont="1" applyFill="1" applyBorder="1"/>
    <xf numFmtId="0" fontId="11" fillId="2" borderId="15" xfId="0" applyFont="1" applyFill="1" applyBorder="1"/>
    <xf numFmtId="16" fontId="8" fillId="3" borderId="15" xfId="0" applyNumberFormat="1" applyFont="1" applyFill="1" applyBorder="1"/>
    <xf numFmtId="0" fontId="8" fillId="3" borderId="15" xfId="0" applyFont="1" applyFill="1" applyBorder="1"/>
    <xf numFmtId="16" fontId="10" fillId="4" borderId="15" xfId="0" applyNumberFormat="1" applyFont="1" applyFill="1" applyBorder="1"/>
    <xf numFmtId="0" fontId="10" fillId="4" borderId="15" xfId="0" applyFont="1" applyFill="1" applyBorder="1"/>
    <xf numFmtId="0" fontId="1" fillId="2" borderId="15" xfId="0" applyFont="1" applyFill="1" applyBorder="1"/>
    <xf numFmtId="0" fontId="1" fillId="5" borderId="15" xfId="0" applyFont="1" applyFill="1" applyBorder="1"/>
    <xf numFmtId="10" fontId="0" fillId="5" borderId="15" xfId="0" applyNumberFormat="1" applyFill="1" applyBorder="1"/>
    <xf numFmtId="164" fontId="0" fillId="5" borderId="15" xfId="0" applyNumberFormat="1" applyFill="1" applyBorder="1"/>
    <xf numFmtId="9" fontId="0" fillId="5" borderId="15" xfId="0" applyNumberFormat="1" applyFill="1" applyBorder="1"/>
    <xf numFmtId="0" fontId="0" fillId="5" borderId="15" xfId="0" applyFill="1" applyBorder="1"/>
    <xf numFmtId="0" fontId="1" fillId="6" borderId="15" xfId="0" applyFont="1" applyFill="1" applyBorder="1"/>
    <xf numFmtId="0" fontId="1" fillId="7" borderId="15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9" xfId="0" applyFont="1" applyFill="1" applyBorder="1"/>
    <xf numFmtId="0" fontId="1" fillId="2" borderId="21" xfId="0" applyFont="1" applyFill="1" applyBorder="1"/>
    <xf numFmtId="0" fontId="1" fillId="2" borderId="18" xfId="0" applyFont="1" applyFill="1" applyBorder="1"/>
    <xf numFmtId="0" fontId="1" fillId="2" borderId="22" xfId="0" applyFont="1" applyFill="1" applyBorder="1"/>
    <xf numFmtId="0" fontId="1" fillId="8" borderId="18" xfId="0" applyFont="1" applyFill="1" applyBorder="1"/>
    <xf numFmtId="10" fontId="0" fillId="8" borderId="15" xfId="0" applyNumberFormat="1" applyFill="1" applyBorder="1"/>
    <xf numFmtId="0" fontId="0" fillId="8" borderId="15" xfId="0" applyFill="1" applyBorder="1"/>
    <xf numFmtId="0" fontId="0" fillId="8" borderId="22" xfId="0" applyFill="1" applyBorder="1"/>
    <xf numFmtId="0" fontId="1" fillId="6" borderId="20" xfId="0" applyFont="1" applyFill="1" applyBorder="1"/>
    <xf numFmtId="0" fontId="1" fillId="6" borderId="16" xfId="0" applyFont="1" applyFill="1" applyBorder="1"/>
    <xf numFmtId="0" fontId="1" fillId="6" borderId="23" xfId="0" applyFont="1" applyFill="1" applyBorder="1"/>
    <xf numFmtId="0" fontId="1" fillId="9" borderId="15" xfId="0" applyFont="1" applyFill="1" applyBorder="1"/>
    <xf numFmtId="0" fontId="0" fillId="9" borderId="15" xfId="0" applyFill="1" applyBorder="1"/>
    <xf numFmtId="0" fontId="1" fillId="6" borderId="29" xfId="0" applyFont="1" applyFill="1" applyBorder="1"/>
    <xf numFmtId="10" fontId="0" fillId="9" borderId="15" xfId="0" applyNumberFormat="1" applyFill="1" applyBorder="1"/>
    <xf numFmtId="17" fontId="0" fillId="0" borderId="0" xfId="0" applyNumberFormat="1"/>
    <xf numFmtId="16" fontId="8" fillId="3" borderId="0" xfId="0" applyNumberFormat="1" applyFont="1" applyFill="1"/>
    <xf numFmtId="0" fontId="8" fillId="3" borderId="0" xfId="0" applyFont="1" applyFill="1"/>
    <xf numFmtId="16" fontId="10" fillId="4" borderId="0" xfId="0" applyNumberFormat="1" applyFont="1" applyFill="1"/>
    <xf numFmtId="0" fontId="10" fillId="4" borderId="0" xfId="0" applyFont="1" applyFill="1"/>
    <xf numFmtId="0" fontId="0" fillId="10" borderId="15" xfId="0" applyFill="1" applyBorder="1"/>
    <xf numFmtId="0" fontId="14" fillId="0" borderId="0" xfId="0" applyFont="1"/>
    <xf numFmtId="16" fontId="1" fillId="0" borderId="15" xfId="0" applyNumberFormat="1" applyFont="1" applyBorder="1"/>
    <xf numFmtId="0" fontId="5" fillId="0" borderId="15" xfId="0" applyFont="1" applyBorder="1" applyAlignment="1">
      <alignment wrapText="1"/>
    </xf>
    <xf numFmtId="16" fontId="1" fillId="0" borderId="0" xfId="0" applyNumberFormat="1" applyFont="1"/>
    <xf numFmtId="0" fontId="15" fillId="0" borderId="0" xfId="0" applyFont="1"/>
    <xf numFmtId="0" fontId="15" fillId="0" borderId="15" xfId="0" applyFont="1" applyBorder="1"/>
    <xf numFmtId="0" fontId="6" fillId="0" borderId="0" xfId="0" applyFont="1"/>
    <xf numFmtId="0" fontId="5" fillId="0" borderId="28" xfId="0" applyFont="1" applyBorder="1"/>
    <xf numFmtId="14" fontId="6" fillId="0" borderId="15" xfId="0" applyNumberFormat="1" applyFont="1" applyBorder="1"/>
    <xf numFmtId="14" fontId="5" fillId="0" borderId="4" xfId="0" applyNumberFormat="1" applyFont="1" applyBorder="1"/>
    <xf numFmtId="14" fontId="6" fillId="0" borderId="24" xfId="0" applyNumberFormat="1" applyFont="1" applyBorder="1"/>
    <xf numFmtId="14" fontId="6" fillId="0" borderId="25" xfId="0" applyNumberFormat="1" applyFont="1" applyBorder="1"/>
    <xf numFmtId="0" fontId="16" fillId="0" borderId="0" xfId="0" applyFont="1"/>
    <xf numFmtId="0" fontId="17" fillId="0" borderId="15" xfId="0" applyFont="1" applyBorder="1"/>
    <xf numFmtId="0" fontId="17" fillId="0" borderId="28" xfId="0" applyFont="1" applyBorder="1"/>
    <xf numFmtId="0" fontId="18" fillId="0" borderId="15" xfId="0" applyFont="1" applyBorder="1"/>
    <xf numFmtId="16" fontId="18" fillId="0" borderId="15" xfId="0" applyNumberFormat="1" applyFont="1" applyBorder="1"/>
    <xf numFmtId="0" fontId="19" fillId="0" borderId="15" xfId="0" applyFont="1" applyBorder="1"/>
    <xf numFmtId="0" fontId="20" fillId="0" borderId="0" xfId="0" applyFont="1"/>
    <xf numFmtId="0" fontId="20" fillId="0" borderId="15" xfId="0" applyFont="1" applyBorder="1"/>
    <xf numFmtId="0" fontId="21" fillId="0" borderId="15" xfId="0" applyFont="1" applyBorder="1"/>
    <xf numFmtId="16" fontId="21" fillId="0" borderId="15" xfId="0" applyNumberFormat="1" applyFont="1" applyBorder="1"/>
    <xf numFmtId="0" fontId="22" fillId="0" borderId="15" xfId="0" applyFont="1" applyBorder="1"/>
    <xf numFmtId="16" fontId="22" fillId="0" borderId="15" xfId="0" applyNumberFormat="1" applyFont="1" applyBorder="1"/>
    <xf numFmtId="16" fontId="23" fillId="0" borderId="15" xfId="0" applyNumberFormat="1" applyFont="1" applyBorder="1"/>
    <xf numFmtId="0" fontId="23" fillId="0" borderId="15" xfId="0" applyFont="1" applyBorder="1"/>
    <xf numFmtId="16" fontId="24" fillId="0" borderId="15" xfId="0" applyNumberFormat="1" applyFont="1" applyBorder="1"/>
    <xf numFmtId="0" fontId="24" fillId="0" borderId="15" xfId="0" applyFont="1" applyBorder="1"/>
    <xf numFmtId="16" fontId="24" fillId="0" borderId="0" xfId="0" applyNumberFormat="1" applyFont="1"/>
    <xf numFmtId="0" fontId="24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5" fillId="0" borderId="0" xfId="0" applyFont="1"/>
    <xf numFmtId="0" fontId="26" fillId="0" borderId="0" xfId="0" applyFont="1"/>
    <xf numFmtId="0" fontId="9" fillId="0" borderId="0" xfId="0" applyFont="1"/>
    <xf numFmtId="2" fontId="9" fillId="0" borderId="0" xfId="0" applyNumberFormat="1" applyFont="1"/>
    <xf numFmtId="0" fontId="1" fillId="0" borderId="25" xfId="0" applyFont="1" applyBorder="1"/>
    <xf numFmtId="16" fontId="1" fillId="0" borderId="27" xfId="0" applyNumberFormat="1" applyFont="1" applyBorder="1"/>
    <xf numFmtId="14" fontId="5" fillId="0" borderId="15" xfId="0" applyNumberFormat="1" applyFont="1" applyBorder="1"/>
    <xf numFmtId="16" fontId="0" fillId="0" borderId="0" xfId="0" applyNumberFormat="1"/>
    <xf numFmtId="0" fontId="27" fillId="0" borderId="15" xfId="0" applyFont="1" applyBorder="1"/>
    <xf numFmtId="14" fontId="27" fillId="0" borderId="15" xfId="0" applyNumberFormat="1" applyFont="1" applyBorder="1"/>
    <xf numFmtId="0" fontId="0" fillId="0" borderId="0" xfId="0" applyAlignment="1">
      <alignment horizontal="center"/>
    </xf>
    <xf numFmtId="0" fontId="6" fillId="0" borderId="0" xfId="0" applyFont="1" applyBorder="1"/>
    <xf numFmtId="0" fontId="28" fillId="0" borderId="15" xfId="0" applyFont="1" applyBorder="1"/>
    <xf numFmtId="14" fontId="28" fillId="0" borderId="15" xfId="0" applyNumberFormat="1" applyFont="1" applyBorder="1"/>
    <xf numFmtId="0" fontId="28" fillId="0" borderId="24" xfId="0" applyFont="1" applyBorder="1"/>
    <xf numFmtId="14" fontId="28" fillId="0" borderId="24" xfId="0" applyNumberFormat="1" applyFont="1" applyBorder="1"/>
    <xf numFmtId="0" fontId="28" fillId="0" borderId="25" xfId="0" applyFont="1" applyBorder="1"/>
    <xf numFmtId="14" fontId="28" fillId="0" borderId="25" xfId="0" applyNumberFormat="1" applyFont="1" applyBorder="1"/>
    <xf numFmtId="0" fontId="28" fillId="0" borderId="0" xfId="0" applyFont="1" applyBorder="1"/>
    <xf numFmtId="16" fontId="28" fillId="0" borderId="15" xfId="0" applyNumberFormat="1" applyFont="1" applyBorder="1"/>
    <xf numFmtId="14" fontId="28" fillId="0" borderId="0" xfId="0" applyNumberFormat="1" applyFont="1" applyBorder="1"/>
    <xf numFmtId="0" fontId="28" fillId="0" borderId="0" xfId="0" applyFont="1"/>
    <xf numFmtId="14" fontId="28" fillId="0" borderId="0" xfId="0" applyNumberFormat="1" applyFont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6E3B5"/>
      <color rgb="FFFA6460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Expected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Dashboard!$A$2:$A$7</c:f>
              <c:strCache>
                <c:ptCount val="5"/>
                <c:pt idx="0">
                  <c:v>Eat out</c:v>
                </c:pt>
                <c:pt idx="1">
                  <c:v>Grocery</c:v>
                </c:pt>
                <c:pt idx="2">
                  <c:v>Miscellaneous</c:v>
                </c:pt>
                <c:pt idx="3">
                  <c:v>Rent</c:v>
                </c:pt>
                <c:pt idx="4">
                  <c:v>Tuition fees</c:v>
                </c:pt>
              </c:strCache>
            </c:strRef>
          </c:cat>
          <c:val>
            <c:numRef>
              <c:f>Dashboard!$B$2:$B$7</c:f>
              <c:numCache>
                <c:formatCode>General</c:formatCode>
                <c:ptCount val="5"/>
                <c:pt idx="0">
                  <c:v>12375</c:v>
                </c:pt>
                <c:pt idx="1">
                  <c:v>12375</c:v>
                </c:pt>
                <c:pt idx="2">
                  <c:v>27500</c:v>
                </c:pt>
                <c:pt idx="3">
                  <c:v>59583.333333333328</c:v>
                </c:pt>
                <c:pt idx="4">
                  <c:v>143000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3-477D-A091-7E9D3AF24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3799120"/>
        <c:axId val="913798160"/>
      </c:barChart>
      <c:catAx>
        <c:axId val="91379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798160"/>
        <c:crosses val="autoZero"/>
        <c:auto val="1"/>
        <c:lblAlgn val="ctr"/>
        <c:lblOffset val="100"/>
        <c:noMultiLvlLbl val="0"/>
      </c:catAx>
      <c:valAx>
        <c:axId val="91379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79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Monthly</a:t>
            </a:r>
            <a:r>
              <a:rPr lang="en-US" baseline="0"/>
              <a:t> expense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Dashboard!$B$19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Dashboard!$A$20:$A$38</c:f>
              <c:multiLvlStrCache>
                <c:ptCount val="15"/>
                <c:lvl>
                  <c:pt idx="0">
                    <c:v>Oct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Feb</c:v>
                  </c:pt>
                  <c:pt idx="13">
                    <c:v>May</c:v>
                  </c:pt>
                  <c:pt idx="14">
                    <c:v>Jun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Dashboard!$B$20:$B$38</c:f>
              <c:numCache>
                <c:formatCode>General</c:formatCode>
                <c:ptCount val="15"/>
                <c:pt idx="0">
                  <c:v>0</c:v>
                </c:pt>
                <c:pt idx="1">
                  <c:v>516.79999999999995</c:v>
                </c:pt>
                <c:pt idx="2">
                  <c:v>81.3</c:v>
                </c:pt>
                <c:pt idx="3">
                  <c:v>1028.7800000000002</c:v>
                </c:pt>
                <c:pt idx="4">
                  <c:v>859.49</c:v>
                </c:pt>
                <c:pt idx="5">
                  <c:v>898.74</c:v>
                </c:pt>
                <c:pt idx="6">
                  <c:v>951.5</c:v>
                </c:pt>
                <c:pt idx="7">
                  <c:v>1437.08</c:v>
                </c:pt>
                <c:pt idx="8">
                  <c:v>885.2</c:v>
                </c:pt>
                <c:pt idx="9">
                  <c:v>1005.45</c:v>
                </c:pt>
                <c:pt idx="10">
                  <c:v>2637</c:v>
                </c:pt>
                <c:pt idx="11">
                  <c:v>1296</c:v>
                </c:pt>
                <c:pt idx="12">
                  <c:v>2300</c:v>
                </c:pt>
                <c:pt idx="13">
                  <c:v>5329</c:v>
                </c:pt>
                <c:pt idx="14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1F-44D1-873C-5965A181062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12348352"/>
        <c:axId val="1137451648"/>
      </c:lineChart>
      <c:catAx>
        <c:axId val="111234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451648"/>
        <c:crosses val="autoZero"/>
        <c:auto val="1"/>
        <c:lblAlgn val="ctr"/>
        <c:lblOffset val="100"/>
        <c:noMultiLvlLbl val="0"/>
      </c:catAx>
      <c:valAx>
        <c:axId val="113745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34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Fees payment (mE$)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Dashboard!$B$43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Dashboard!$A$44:$A$53</c:f>
              <c:multiLvlStrCache>
                <c:ptCount val="6"/>
                <c:lvl>
                  <c:pt idx="0">
                    <c:v>Oct</c:v>
                  </c:pt>
                  <c:pt idx="1">
                    <c:v>Jun</c:v>
                  </c:pt>
                  <c:pt idx="2">
                    <c:v>Jul</c:v>
                  </c:pt>
                  <c:pt idx="3">
                    <c:v>Oct</c:v>
                  </c:pt>
                  <c:pt idx="4">
                    <c:v>Mar</c:v>
                  </c:pt>
                  <c:pt idx="5">
                    <c:v>Oct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4">
                    <c:v>2024</c:v>
                  </c:pt>
                </c:lvl>
              </c:multiLvlStrCache>
            </c:multiLvlStrRef>
          </c:cat>
          <c:val>
            <c:numRef>
              <c:f>Dashboard!$B$44:$B$53</c:f>
              <c:numCache>
                <c:formatCode>General</c:formatCode>
                <c:ptCount val="6"/>
                <c:pt idx="0">
                  <c:v>0</c:v>
                </c:pt>
                <c:pt idx="1">
                  <c:v>2522.8000000000002</c:v>
                </c:pt>
                <c:pt idx="2">
                  <c:v>0</c:v>
                </c:pt>
                <c:pt idx="3">
                  <c:v>163.19999999999999</c:v>
                </c:pt>
                <c:pt idx="4">
                  <c:v>5549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8C1-4FCD-97AF-9547375A907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108461376"/>
        <c:axId val="1108459456"/>
      </c:lineChart>
      <c:catAx>
        <c:axId val="110846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459456"/>
        <c:crosses val="autoZero"/>
        <c:auto val="1"/>
        <c:lblAlgn val="ctr"/>
        <c:lblOffset val="100"/>
        <c:noMultiLvlLbl val="0"/>
      </c:catAx>
      <c:valAx>
        <c:axId val="1108459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0846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Fees paymet</a:t>
            </a:r>
            <a:r>
              <a:rPr lang="en-US" baseline="0"/>
              <a:t> (Rs.)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Dashboard!$B$58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Dashboard!$A$59:$A$68</c:f>
              <c:multiLvlStrCache>
                <c:ptCount val="6"/>
                <c:lvl>
                  <c:pt idx="0">
                    <c:v>Oct</c:v>
                  </c:pt>
                  <c:pt idx="1">
                    <c:v>Jun</c:v>
                  </c:pt>
                  <c:pt idx="2">
                    <c:v>Jul</c:v>
                  </c:pt>
                  <c:pt idx="3">
                    <c:v>Oct</c:v>
                  </c:pt>
                  <c:pt idx="4">
                    <c:v>Mar</c:v>
                  </c:pt>
                  <c:pt idx="5">
                    <c:v>Oct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4">
                    <c:v>2024</c:v>
                  </c:pt>
                </c:lvl>
              </c:multiLvlStrCache>
            </c:multiLvlStrRef>
          </c:cat>
          <c:val>
            <c:numRef>
              <c:f>Dashboard!$B$59:$B$68</c:f>
              <c:numCache>
                <c:formatCode>General</c:formatCode>
                <c:ptCount val="6"/>
                <c:pt idx="0">
                  <c:v>820930</c:v>
                </c:pt>
                <c:pt idx="1">
                  <c:v>0</c:v>
                </c:pt>
                <c:pt idx="2">
                  <c:v>717937</c:v>
                </c:pt>
                <c:pt idx="3">
                  <c:v>0</c:v>
                </c:pt>
                <c:pt idx="4">
                  <c:v>576048</c:v>
                </c:pt>
                <c:pt idx="5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83-4DE6-930D-BD11DB3358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09250640"/>
        <c:axId val="1209254960"/>
      </c:lineChart>
      <c:catAx>
        <c:axId val="120925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254960"/>
        <c:crosses val="autoZero"/>
        <c:auto val="1"/>
        <c:lblAlgn val="ctr"/>
        <c:lblOffset val="100"/>
        <c:noMultiLvlLbl val="0"/>
      </c:catAx>
      <c:valAx>
        <c:axId val="120925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25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Dashboard!$B$74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Dashboard!$A$75:$A$95</c:f>
              <c:multiLvlStrCache>
                <c:ptCount val="18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  <c:pt idx="17">
                    <c:v>Jul</c:v>
                  </c:pt>
                </c:lvl>
                <c:lvl>
                  <c:pt idx="0">
                    <c:v>2023</c:v>
                  </c:pt>
                  <c:pt idx="11">
                    <c:v>2024</c:v>
                  </c:pt>
                </c:lvl>
              </c:multiLvlStrCache>
            </c:multiLvlStrRef>
          </c:cat>
          <c:val>
            <c:numRef>
              <c:f>Dashboard!$B$75:$B$95</c:f>
              <c:numCache>
                <c:formatCode>General</c:formatCode>
                <c:ptCount val="18"/>
                <c:pt idx="0">
                  <c:v>206.17500000000001</c:v>
                </c:pt>
                <c:pt idx="1">
                  <c:v>136.22</c:v>
                </c:pt>
                <c:pt idx="2">
                  <c:v>295.69499999999999</c:v>
                </c:pt>
                <c:pt idx="3">
                  <c:v>254.58</c:v>
                </c:pt>
                <c:pt idx="4">
                  <c:v>220.15</c:v>
                </c:pt>
                <c:pt idx="5">
                  <c:v>357.45000000000005</c:v>
                </c:pt>
                <c:pt idx="6">
                  <c:v>367.68</c:v>
                </c:pt>
                <c:pt idx="7">
                  <c:v>422.93</c:v>
                </c:pt>
                <c:pt idx="8">
                  <c:v>528.97</c:v>
                </c:pt>
                <c:pt idx="9">
                  <c:v>190</c:v>
                </c:pt>
                <c:pt idx="10">
                  <c:v>574.29</c:v>
                </c:pt>
                <c:pt idx="11">
                  <c:v>750</c:v>
                </c:pt>
                <c:pt idx="12">
                  <c:v>657.75</c:v>
                </c:pt>
                <c:pt idx="13">
                  <c:v>511.65</c:v>
                </c:pt>
                <c:pt idx="14">
                  <c:v>633.5</c:v>
                </c:pt>
                <c:pt idx="15">
                  <c:v>680.1</c:v>
                </c:pt>
                <c:pt idx="16">
                  <c:v>492.5</c:v>
                </c:pt>
                <c:pt idx="17">
                  <c:v>246.39999999999998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F3-4568-B5AE-755DD727836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72127504"/>
        <c:axId val="1272131824"/>
      </c:lineChart>
      <c:catAx>
        <c:axId val="127212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131824"/>
        <c:crosses val="autoZero"/>
        <c:auto val="1"/>
        <c:lblAlgn val="ctr"/>
        <c:lblOffset val="100"/>
        <c:noMultiLvlLbl val="0"/>
      </c:catAx>
      <c:valAx>
        <c:axId val="12721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1275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</xdr:colOff>
      <xdr:row>3</xdr:row>
      <xdr:rowOff>60960</xdr:rowOff>
    </xdr:from>
    <xdr:to>
      <xdr:col>10</xdr:col>
      <xdr:colOff>556260</xdr:colOff>
      <xdr:row>7</xdr:row>
      <xdr:rowOff>114300</xdr:rowOff>
    </xdr:to>
    <xdr:sp macro="[0]!Module5.Expense_tracker" textlink="">
      <xdr:nvSpPr>
        <xdr:cNvPr id="2" name="Rectangle 1">
          <a:extLst>
            <a:ext uri="{FF2B5EF4-FFF2-40B4-BE49-F238E27FC236}">
              <a16:creationId xmlns:a16="http://schemas.microsoft.com/office/drawing/2014/main" id="{1E48AE13-E8F2-1413-BF3E-ED8D1ABEBA90}"/>
            </a:ext>
          </a:extLst>
        </xdr:cNvPr>
        <xdr:cNvSpPr/>
      </xdr:nvSpPr>
      <xdr:spPr>
        <a:xfrm>
          <a:off x="3989493" y="602827"/>
          <a:ext cx="2933700" cy="77582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Enter transaction</a:t>
          </a:r>
        </a:p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396240</xdr:colOff>
      <xdr:row>1</xdr:row>
      <xdr:rowOff>95250</xdr:rowOff>
    </xdr:from>
    <xdr:to>
      <xdr:col>13</xdr:col>
      <xdr:colOff>129540</xdr:colOff>
      <xdr:row>13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EA39FB-BB11-296E-2A79-E21E306EE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1097280</xdr:colOff>
      <xdr:row>17</xdr:row>
      <xdr:rowOff>148590</xdr:rowOff>
    </xdr:from>
    <xdr:to>
      <xdr:col>20</xdr:col>
      <xdr:colOff>0</xdr:colOff>
      <xdr:row>32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343A94-EE5D-4F00-FC16-AFBA30601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1254490</xdr:colOff>
      <xdr:row>40</xdr:row>
      <xdr:rowOff>56148</xdr:rowOff>
    </xdr:from>
    <xdr:to>
      <xdr:col>16</xdr:col>
      <xdr:colOff>352925</xdr:colOff>
      <xdr:row>55</xdr:row>
      <xdr:rowOff>32084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A61AFC-3FE8-0D25-A1CE-D02624E840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858252</xdr:colOff>
      <xdr:row>56</xdr:row>
      <xdr:rowOff>168442</xdr:rowOff>
    </xdr:from>
    <xdr:to>
      <xdr:col>16</xdr:col>
      <xdr:colOff>344905</xdr:colOff>
      <xdr:row>69</xdr:row>
      <xdr:rowOff>160421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7EEB519-ED9F-3AD3-6FEF-6FD3C03483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938463</xdr:colOff>
      <xdr:row>72</xdr:row>
      <xdr:rowOff>88232</xdr:rowOff>
    </xdr:from>
    <xdr:to>
      <xdr:col>16</xdr:col>
      <xdr:colOff>385011</xdr:colOff>
      <xdr:row>85</xdr:row>
      <xdr:rowOff>160421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E9CD380-D159-1780-24A4-90C3A84E2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72.4544306713" createdVersion="8" refreshedVersion="8" minRefreshableVersion="3" recordCount="10" xr:uid="{E8312992-1333-4D68-BFA3-3EAD997584E9}">
  <cacheSource type="worksheet">
    <worksheetSource ref="A1:C11" sheet="Expense monthly"/>
  </cacheSource>
  <cacheFields count="7">
    <cacheField name="Expense" numFmtId="0">
      <sharedItems count="10">
        <s v="Tuition fees"/>
        <s v="Rent"/>
        <s v="Grocery"/>
        <s v="Eat out"/>
        <s v="Clothes"/>
        <s v="Travel"/>
        <s v="Flight"/>
        <s v="Visa charges"/>
        <s v="Miscellaneous"/>
        <s v="Total"/>
      </sharedItems>
    </cacheField>
    <cacheField name="Weekly amount" numFmtId="0">
      <sharedItems containsSemiMixedTypes="0" containsString="0" containsNumber="1" minValue="6.3365384615384617" maxValue="1156.3365384615388"/>
    </cacheField>
    <cacheField name="Monthly" numFmtId="0">
      <sharedItems containsSemiMixedTypes="0" containsString="0" containsNumber="1" minValue="27.458333333333332" maxValue="5010.7916666666661"/>
    </cacheField>
    <cacheField name="W. A. in Rs." numFmtId="0">
      <sharedItems containsSemiMixedTypes="0" containsString="0" containsNumber="1" minValue="348.50961538461542" maxValue="63598.509615384617"/>
    </cacheField>
    <cacheField name="M. A. in Rs." numFmtId="0">
      <sharedItems containsSemiMixedTypes="0" containsString="0" containsNumber="1" minValue="1510.2083333333333" maxValue="275593.54166666663"/>
    </cacheField>
    <cacheField name="Necessary" numFmtId="0">
      <sharedItems containsSemiMixedTypes="0" containsString="0" containsNumber="1" minValue="0" maxValue="60076.923076923071"/>
    </cacheField>
    <cacheField name="Yearly necessary" numFmtId="0">
      <sharedItems containsSemiMixedTypes="0" containsString="0" containsNumber="1" containsInteger="1" minValue="0" maxValue="31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72.456692708336" createdVersion="8" refreshedVersion="8" minRefreshableVersion="3" recordCount="121" xr:uid="{8946DE26-50EC-47E4-8B9A-4FE499B1F74F}">
  <cacheSource type="worksheet">
    <worksheetSource ref="A1:E193" sheet="Tracker"/>
  </cacheSource>
  <cacheFields count="8">
    <cacheField name="Expense" numFmtId="0">
      <sharedItems containsBlank="1" count="9">
        <s v="Rent"/>
        <s v="Optus"/>
        <s v="Shopping"/>
        <s v="Travel"/>
        <s v="Misc"/>
        <s v="Bank Deposit"/>
        <s v="Gift"/>
        <s v="Total"/>
        <m/>
      </sharedItems>
    </cacheField>
    <cacheField name="Amount($)" numFmtId="0">
      <sharedItems containsMixedTypes="1" containsNumber="1" minValue="0" maxValue="20821.340000000004" count="74">
        <s v="N/A"/>
        <n v="3.75"/>
        <n v="7.4"/>
        <n v="12"/>
        <n v="21.75"/>
        <n v="22.75"/>
        <n v="3.15"/>
        <n v="13.5"/>
        <n v="10"/>
        <n v="6"/>
        <n v="23"/>
        <n v="1"/>
        <n v="3.5"/>
        <n v="398"/>
        <n v="5"/>
        <n v="4.5"/>
        <n v="3.25"/>
        <n v="2.75"/>
        <s v="N/A(202.58)"/>
        <s v="N/A(204.29)"/>
        <n v="2.7"/>
        <n v="53.1"/>
        <n v="16"/>
        <n v="28"/>
        <n v="9"/>
        <n v="250"/>
        <n v="3.64"/>
        <n v="1.4"/>
        <n v="144.32"/>
        <n v="59.75"/>
        <n v="20"/>
        <n v="3.71"/>
        <n v="350"/>
        <n v="44.36"/>
        <n v="40.5"/>
        <n v="1.39"/>
        <n v="405.16"/>
        <n v="21.6"/>
        <n v="15.88"/>
        <n v="25.9"/>
        <n v="2"/>
        <n v="26"/>
        <n v="30"/>
        <n v="7.5"/>
        <n v="5.63"/>
        <n v="13"/>
        <n v="3"/>
        <n v="22.8"/>
        <n v="25.55"/>
        <n v="110"/>
        <n v="14.1"/>
        <n v="10.75"/>
        <n v="50"/>
        <n v="55.6"/>
        <n v="29"/>
        <n v="11"/>
        <n v="100"/>
        <n v="38"/>
        <n v="0"/>
        <n v="1500"/>
        <n v="560"/>
        <n v="300"/>
        <n v="200"/>
        <n v="1200"/>
        <n v="1100"/>
        <n v="576"/>
        <n v="4400"/>
        <n v="353"/>
        <n v="115"/>
        <n v="1045"/>
        <n v="120"/>
        <n v="54"/>
        <n v="20821.340000000004"/>
        <s v=" "/>
      </sharedItems>
    </cacheField>
    <cacheField name="AUD($)" numFmtId="0">
      <sharedItems containsBlank="1" containsMixedTypes="1" containsNumber="1" minValue="53.93" maxValue="58.68"/>
    </cacheField>
    <cacheField name="Amount(Rs.)" numFmtId="0">
      <sharedItems containsBlank="1" containsMixedTypes="1" containsNumber="1" containsInteger="1" minValue="3102" maxValue="270912" count="12">
        <n v="10934"/>
        <n v="3102"/>
        <s v="N/A"/>
        <n v="11855"/>
        <n v="11286"/>
        <n v="11370"/>
        <n v="22365"/>
        <n v="22000"/>
        <n v="18000"/>
        <n v="160000"/>
        <n v="270912"/>
        <m/>
      </sharedItems>
    </cacheField>
    <cacheField name="Date" numFmtId="0">
      <sharedItems containsNonDate="0" containsDate="1" containsString="0" containsBlank="1" minDate="2022-10-10T00:00:00" maxDate="2024-06-29T00:00:00" count="100">
        <d v="2022-10-10T00:00:00"/>
        <d v="2023-02-13T00:00:00"/>
        <d v="2023-02-14T00:00:00"/>
        <d v="2023-02-15T00:00:00"/>
        <d v="2023-02-16T00:00:00"/>
        <d v="2023-02-17T00:00:00"/>
        <d v="2023-02-18T00:00:00"/>
        <d v="2023-02-20T00:00:00"/>
        <d v="2023-02-22T00:00:00"/>
        <d v="2023-02-27T00:00:00"/>
        <d v="2023-02-28T00:00:00"/>
        <d v="2023-03-02T00:00:00"/>
        <d v="2023-03-03T00:00:00"/>
        <d v="2023-03-05T00:00:00"/>
        <d v="2023-03-11T00:00:00"/>
        <d v="2023-03-12T00:00:00"/>
        <d v="2023-03-14T00:00:00"/>
        <d v="2023-03-17T00:00:00"/>
        <d v="2023-03-22T00:00:00"/>
        <d v="2023-03-24T00:00:00"/>
        <d v="2023-03-28T00:00:00"/>
        <d v="2023-04-01T00:00:00"/>
        <d v="2023-04-04T00:00:00"/>
        <d v="2023-04-10T00:00:00"/>
        <d v="2023-04-11T00:00:00"/>
        <d v="2023-04-12T00:00:00"/>
        <d v="2023-04-13T00:00:00"/>
        <d v="2023-04-15T00:00:00"/>
        <d v="2023-04-25T00:00:00"/>
        <d v="2023-04-26T00:00:00"/>
        <d v="2023-04-28T00:00:00"/>
        <d v="2023-05-07T00:00:00"/>
        <d v="2023-05-11T00:00:00"/>
        <d v="2023-05-12T00:00:00"/>
        <d v="2023-05-15T00:00:00"/>
        <d v="2023-05-16T00:00:00"/>
        <d v="2023-05-21T00:00:00"/>
        <d v="2023-05-23T00:00:00"/>
        <d v="2023-06-06T00:00:00"/>
        <d v="2023-06-07T00:00:00"/>
        <d v="2023-06-10T00:00:00"/>
        <d v="2023-06-16T00:00:00"/>
        <d v="2023-06-20T00:00:00"/>
        <d v="2023-06-22T00:00:00"/>
        <d v="2023-07-03T00:00:00"/>
        <d v="2023-07-04T00:00:00"/>
        <d v="2023-07-10T00:00:00"/>
        <d v="2023-07-13T00:00:00"/>
        <d v="2023-07-16T00:00:00"/>
        <d v="2023-07-18T00:00:00"/>
        <d v="2023-07-25T00:00:00"/>
        <d v="2023-07-26T00:00:00"/>
        <d v="2023-08-01T00:00:00"/>
        <d v="2023-08-03T00:00:00"/>
        <d v="2023-08-05T00:00:00"/>
        <d v="2023-08-10T00:00:00"/>
        <d v="2023-08-15T00:00:00"/>
        <d v="2023-08-16T00:00:00"/>
        <d v="2023-08-23T00:00:00"/>
        <d v="2023-08-26T00:00:00"/>
        <d v="2023-08-27T00:00:00"/>
        <d v="2023-08-28T00:00:00"/>
        <d v="2023-08-29T00:00:00"/>
        <d v="2023-08-30T00:00:00"/>
        <d v="2023-09-09T00:00:00"/>
        <d v="2023-09-12T00:00:00"/>
        <d v="2023-09-13T00:00:00"/>
        <d v="2023-09-15T00:00:00"/>
        <d v="2023-09-26T00:00:00"/>
        <d v="2023-10-10T00:00:00"/>
        <d v="2023-10-13T00:00:00"/>
        <d v="2023-10-14T00:00:00"/>
        <d v="2023-10-16T00:00:00"/>
        <d v="2023-10-20T00:00:00"/>
        <d v="2023-10-24T00:00:00"/>
        <d v="2023-10-30T00:00:00"/>
        <d v="2023-10-31T00:00:00"/>
        <d v="2023-11-02T00:00:00"/>
        <d v="2023-11-03T00:00:00"/>
        <d v="2023-11-05T00:00:00"/>
        <d v="2023-11-06T00:00:00"/>
        <d v="2023-11-07T00:00:00"/>
        <d v="2023-11-09T00:00:00"/>
        <d v="2023-11-10T00:00:00"/>
        <d v="2023-11-16T00:00:00"/>
        <d v="2023-11-25T00:00:00"/>
        <d v="2023-12-04T00:00:00"/>
        <d v="2023-12-13T00:00:00"/>
        <d v="2023-12-31T00:00:00"/>
        <d v="2024-02-13T00:00:00"/>
        <d v="2024-02-15T00:00:00"/>
        <d v="2024-05-13T00:00:00"/>
        <d v="2024-05-15T00:00:00"/>
        <d v="2024-05-18T00:00:00"/>
        <d v="2024-06-13T00:00:00"/>
        <d v="2024-06-15T00:00:00"/>
        <d v="2024-06-22T00:00:00"/>
        <d v="2024-06-25T00:00:00"/>
        <d v="2024-06-28T00:00:00"/>
        <m/>
      </sharedItems>
      <fieldGroup par="7"/>
    </cacheField>
    <cacheField name="Months (Date)" numFmtId="0" databaseField="0">
      <fieldGroup base="4">
        <rangePr groupBy="months" startDate="2022-10-10T00:00:00" endDate="2024-06-29T00:00:00"/>
        <groupItems count="14">
          <s v="&lt;10-10-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9-06-2024"/>
        </groupItems>
      </fieldGroup>
    </cacheField>
    <cacheField name="Quarters (Date)" numFmtId="0" databaseField="0">
      <fieldGroup base="4">
        <rangePr groupBy="quarters" startDate="2022-10-10T00:00:00" endDate="2024-06-29T00:00:00"/>
        <groupItems count="6">
          <s v="&lt;10-10-2022"/>
          <s v="Qtr1"/>
          <s v="Qtr2"/>
          <s v="Qtr3"/>
          <s v="Qtr4"/>
          <s v="&gt;29-06-2024"/>
        </groupItems>
      </fieldGroup>
    </cacheField>
    <cacheField name="Years (Date)" numFmtId="0" databaseField="0">
      <fieldGroup base="4">
        <rangePr groupBy="years" startDate="2022-10-10T00:00:00" endDate="2024-06-29T00:00:00"/>
        <groupItems count="5">
          <s v="&lt;10-10-2022"/>
          <s v="2022"/>
          <s v="2023"/>
          <s v="2024"/>
          <s v="&gt;29-06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72.471031134257" createdVersion="8" refreshedVersion="8" minRefreshableVersion="3" recordCount="12" xr:uid="{C89DDD64-1C15-4A39-8973-95DB6CA74F43}">
  <cacheSource type="worksheet">
    <worksheetSource ref="A1:G16" sheet="Fees Payment"/>
  </cacheSource>
  <cacheFields count="10">
    <cacheField name="Expense" numFmtId="0">
      <sharedItems/>
    </cacheField>
    <cacheField name="Amount($)" numFmtId="0">
      <sharedItems containsMixedTypes="1" containsNumber="1" minValue="163.19999999999999" maxValue="8235" count="5">
        <s v="N/A"/>
        <n v="163.19999999999999"/>
        <n v="2522.8000000000002"/>
        <n v="5549"/>
        <n v="8235"/>
      </sharedItems>
    </cacheField>
    <cacheField name="AUD($)" numFmtId="0">
      <sharedItems containsMixedTypes="1" containsNumber="1" minValue="54.106000000000002" maxValue="55.54"/>
    </cacheField>
    <cacheField name="Amount(Rs.)" numFmtId="0">
      <sharedItems containsMixedTypes="1" containsNumber="1" containsInteger="1" minValue="11517" maxValue="2214915"/>
    </cacheField>
    <cacheField name="Date" numFmtId="0">
      <sharedItems containsNonDate="0" containsDate="1" containsString="0" containsBlank="1" minDate="2022-10-07T00:00:00" maxDate="2024-10-08T00:00:00" count="9">
        <d v="2022-10-07T00:00:00"/>
        <d v="2024-10-07T00:00:00"/>
        <d v="2023-10-28T00:00:00"/>
        <d v="2023-06-27T00:00:00"/>
        <d v="2023-07-03T00:00:00"/>
        <d v="2024-03-03T00:00:00"/>
        <d v="2024-03-13T00:00:00"/>
        <m/>
        <d v="2023-03-28T00:00:00" u="1"/>
      </sharedItems>
      <fieldGroup par="9"/>
    </cacheField>
    <cacheField name="Year" numFmtId="0">
      <sharedItems containsString="0" containsBlank="1" containsNumber="1" containsInteger="1" minValue="2022" maxValue="2024"/>
    </cacheField>
    <cacheField name="Paid through" numFmtId="0">
      <sharedItems containsBlank="1"/>
    </cacheField>
    <cacheField name="Months (Date)" numFmtId="0" databaseField="0">
      <fieldGroup base="4">
        <rangePr groupBy="months" startDate="2022-10-07T00:00:00" endDate="2024-10-08T00:00:00"/>
        <groupItems count="14">
          <s v="&lt;07-10-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8-10-2024"/>
        </groupItems>
      </fieldGroup>
    </cacheField>
    <cacheField name="Quarters (Date)" numFmtId="0" databaseField="0">
      <fieldGroup base="4">
        <rangePr groupBy="quarters" startDate="2022-10-07T00:00:00" endDate="2024-10-08T00:00:00"/>
        <groupItems count="6">
          <s v="&lt;07-10-2022"/>
          <s v="Qtr1"/>
          <s v="Qtr2"/>
          <s v="Qtr3"/>
          <s v="Qtr4"/>
          <s v="&gt;08-10-2024"/>
        </groupItems>
      </fieldGroup>
    </cacheField>
    <cacheField name="Years (Date)" numFmtId="0" databaseField="0">
      <fieldGroup base="4">
        <rangePr groupBy="years" startDate="2022-10-07T00:00:00" endDate="2024-10-08T00:00:00"/>
        <groupItems count="5">
          <s v="&lt;07-10-2022"/>
          <s v="2022"/>
          <s v="2023"/>
          <s v="2024"/>
          <s v="&gt;08-10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86.478530208333" createdVersion="8" refreshedVersion="8" minRefreshableVersion="3" recordCount="588" xr:uid="{B045D1B2-35EC-4E94-A460-23F071062327}">
  <cacheSource type="worksheet">
    <worksheetSource ref="E4" sheet="Food"/>
  </cacheSource>
  <cacheFields count="11">
    <cacheField name="Expense" numFmtId="0">
      <sharedItems/>
    </cacheField>
    <cacheField name="Spend" numFmtId="0">
      <sharedItems containsSemiMixedTypes="0" containsString="0" containsNumber="1" minValue="0" maxValue="7526.0399999999981"/>
    </cacheField>
    <cacheField name="Date" numFmtId="0">
      <sharedItems containsNonDate="0" containsDate="1" containsString="0" containsBlank="1" minDate="2023-02-13T00:00:00" maxDate="2024-07-13T00:00:00" count="517"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3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m/>
        <d v="2023-06-22T00:00:00" u="1"/>
        <d v="2023-06-24T00:00:00" u="1"/>
      </sharedItems>
      <fieldGroup par="10"/>
    </cacheField>
    <cacheField name="Year" numFmtId="0">
      <sharedItems containsString="0" containsBlank="1" containsNumber="1" containsInteger="1" minValue="2023" maxValue="2024"/>
    </cacheField>
    <cacheField name="Quota" numFmtId="0">
      <sharedItems containsString="0" containsBlank="1" containsNumber="1" minValue="-16.774999999999999" maxValue="1620.8600000000004"/>
    </cacheField>
    <cacheField name="left" numFmtId="0">
      <sharedItems containsString="0" containsBlank="1" containsNumber="1" minValue="-30.274999999999999" maxValue="1605.8600000000004"/>
    </cacheField>
    <cacheField name="Budget" numFmtId="0">
      <sharedItems containsMixedTypes="1" containsNumber="1" containsInteger="1" minValue="15" maxValue="7710"/>
    </cacheField>
    <cacheField name="Days" numFmtId="0">
      <sharedItems containsSemiMixedTypes="0" containsString="0" containsNumber="1" minValue="1" maxValue="514"/>
    </cacheField>
    <cacheField name="Months (Date)" numFmtId="0" databaseField="0">
      <fieldGroup base="2">
        <rangePr groupBy="months" startDate="2023-02-13T00:00:00" endDate="2024-07-13T00:00:00"/>
        <groupItems count="14">
          <s v="&lt;13-02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3-07-2024"/>
        </groupItems>
      </fieldGroup>
    </cacheField>
    <cacheField name="Quarters (Date)" numFmtId="0" databaseField="0">
      <fieldGroup base="2">
        <rangePr groupBy="quarters" startDate="2023-02-13T00:00:00" endDate="2024-07-13T00:00:00"/>
        <groupItems count="6">
          <s v="&lt;13-02-2023"/>
          <s v="Qtr1"/>
          <s v="Qtr2"/>
          <s v="Qtr3"/>
          <s v="Qtr4"/>
          <s v="&gt;13-07-2024"/>
        </groupItems>
      </fieldGroup>
    </cacheField>
    <cacheField name="Years (Date)" numFmtId="0" databaseField="0">
      <fieldGroup base="2">
        <rangePr groupBy="years" startDate="2023-02-13T00:00:00" endDate="2024-07-13T00:00:00"/>
        <groupItems count="4">
          <s v="&lt;13-02-2023"/>
          <s v="2023"/>
          <s v="2024"/>
          <s v="&gt;13-07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600"/>
    <n v="2600"/>
    <n v="33000"/>
    <n v="143000"/>
    <n v="33000"/>
    <n v="1716000"/>
  </r>
  <r>
    <x v="1"/>
    <n v="250"/>
    <n v="1083.3333333333333"/>
    <n v="13750"/>
    <n v="59583.333333333328"/>
    <n v="19461.538461538461"/>
    <n v="1012000"/>
  </r>
  <r>
    <x v="2"/>
    <n v="51.92307692307692"/>
    <n v="225"/>
    <n v="2855.7692307692305"/>
    <n v="12375"/>
    <n v="1269.2307692307693"/>
    <n v="66000"/>
  </r>
  <r>
    <x v="3"/>
    <n v="51.92307692307692"/>
    <n v="225"/>
    <n v="2855.7692307692305"/>
    <n v="12375"/>
    <n v="6346.1538461538466"/>
    <n v="330000"/>
  </r>
  <r>
    <x v="4"/>
    <n v="19.23076923076923"/>
    <n v="83.333333333333329"/>
    <n v="1057.6923076923076"/>
    <n v="4583.333333333333"/>
    <n v="0"/>
    <n v="0"/>
  </r>
  <r>
    <x v="5"/>
    <n v="23.076923076923077"/>
    <n v="100"/>
    <n v="1269.2307692307693"/>
    <n v="5500"/>
    <n v="0"/>
    <n v="0"/>
  </r>
  <r>
    <x v="6"/>
    <n v="38.46153846153846"/>
    <n v="166.66666666666666"/>
    <n v="2115.3846153846152"/>
    <n v="9166.6666666666661"/>
    <n v="0"/>
    <n v="0"/>
  </r>
  <r>
    <x v="7"/>
    <n v="6.3365384615384617"/>
    <n v="27.458333333333332"/>
    <n v="348.50961538461542"/>
    <n v="1510.2083333333333"/>
    <n v="0"/>
    <n v="0"/>
  </r>
  <r>
    <x v="8"/>
    <n v="115.38461538461539"/>
    <n v="500"/>
    <n v="6346.1538461538466"/>
    <n v="27500"/>
    <n v="0"/>
    <n v="0"/>
  </r>
  <r>
    <x v="9"/>
    <n v="1156.3365384615388"/>
    <n v="5010.7916666666661"/>
    <n v="63598.509615384617"/>
    <n v="275593.54166666663"/>
    <n v="60076.923076923071"/>
    <n v="3124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x v="0"/>
    <x v="0"/>
    <n v="53.93"/>
    <x v="0"/>
    <x v="0"/>
  </r>
  <r>
    <x v="1"/>
    <x v="0"/>
    <n v="58.4"/>
    <x v="1"/>
    <x v="1"/>
  </r>
  <r>
    <x v="2"/>
    <x v="1"/>
    <n v="56.5"/>
    <x v="2"/>
    <x v="1"/>
  </r>
  <r>
    <x v="2"/>
    <x v="2"/>
    <n v="56.5"/>
    <x v="2"/>
    <x v="2"/>
  </r>
  <r>
    <x v="2"/>
    <x v="3"/>
    <n v="56.5"/>
    <x v="2"/>
    <x v="2"/>
  </r>
  <r>
    <x v="0"/>
    <x v="0"/>
    <n v="58.68"/>
    <x v="3"/>
    <x v="2"/>
  </r>
  <r>
    <x v="2"/>
    <x v="4"/>
    <n v="56.5"/>
    <x v="2"/>
    <x v="3"/>
  </r>
  <r>
    <x v="2"/>
    <x v="5"/>
    <n v="56.5"/>
    <x v="2"/>
    <x v="3"/>
  </r>
  <r>
    <x v="2"/>
    <x v="6"/>
    <n v="56.5"/>
    <x v="2"/>
    <x v="4"/>
  </r>
  <r>
    <x v="2"/>
    <x v="7"/>
    <n v="56.5"/>
    <x v="2"/>
    <x v="5"/>
  </r>
  <r>
    <x v="3"/>
    <x v="8"/>
    <n v="56.5"/>
    <x v="2"/>
    <x v="5"/>
  </r>
  <r>
    <x v="2"/>
    <x v="9"/>
    <n v="56.5"/>
    <x v="2"/>
    <x v="6"/>
  </r>
  <r>
    <x v="2"/>
    <x v="10"/>
    <n v="56.5"/>
    <x v="2"/>
    <x v="7"/>
  </r>
  <r>
    <x v="2"/>
    <x v="11"/>
    <n v="56.5"/>
    <x v="2"/>
    <x v="8"/>
  </r>
  <r>
    <x v="2"/>
    <x v="12"/>
    <n v="56.5"/>
    <x v="2"/>
    <x v="8"/>
  </r>
  <r>
    <x v="2"/>
    <x v="11"/>
    <n v="56.5"/>
    <x v="2"/>
    <x v="9"/>
  </r>
  <r>
    <x v="0"/>
    <x v="13"/>
    <n v="56.5"/>
    <x v="2"/>
    <x v="10"/>
  </r>
  <r>
    <x v="2"/>
    <x v="8"/>
    <n v="56.5"/>
    <x v="2"/>
    <x v="11"/>
  </r>
  <r>
    <x v="4"/>
    <x v="14"/>
    <n v="56.5"/>
    <x v="2"/>
    <x v="12"/>
  </r>
  <r>
    <x v="4"/>
    <x v="15"/>
    <n v="56.5"/>
    <x v="2"/>
    <x v="13"/>
  </r>
  <r>
    <x v="2"/>
    <x v="16"/>
    <n v="56.5"/>
    <x v="2"/>
    <x v="14"/>
  </r>
  <r>
    <x v="2"/>
    <x v="17"/>
    <n v="56.5"/>
    <x v="2"/>
    <x v="15"/>
  </r>
  <r>
    <x v="0"/>
    <x v="18"/>
    <n v="55.22"/>
    <x v="4"/>
    <x v="16"/>
  </r>
  <r>
    <x v="0"/>
    <x v="19"/>
    <n v="56.12"/>
    <x v="5"/>
    <x v="16"/>
  </r>
  <r>
    <x v="4"/>
    <x v="20"/>
    <n v="56.5"/>
    <x v="2"/>
    <x v="17"/>
  </r>
  <r>
    <x v="3"/>
    <x v="14"/>
    <n v="56.5"/>
    <x v="2"/>
    <x v="18"/>
  </r>
  <r>
    <x v="1"/>
    <x v="21"/>
    <n v="56.5"/>
    <x v="2"/>
    <x v="19"/>
  </r>
  <r>
    <x v="0"/>
    <x v="0"/>
    <n v="55.65"/>
    <x v="6"/>
    <x v="20"/>
  </r>
  <r>
    <x v="4"/>
    <x v="14"/>
    <s v="N/A"/>
    <x v="2"/>
    <x v="21"/>
  </r>
  <r>
    <x v="4"/>
    <x v="22"/>
    <s v="N/A"/>
    <x v="2"/>
    <x v="22"/>
  </r>
  <r>
    <x v="2"/>
    <x v="23"/>
    <s v="N/A"/>
    <x v="2"/>
    <x v="22"/>
  </r>
  <r>
    <x v="4"/>
    <x v="24"/>
    <s v="N/A"/>
    <x v="2"/>
    <x v="23"/>
  </r>
  <r>
    <x v="0"/>
    <x v="25"/>
    <s v="N/A"/>
    <x v="2"/>
    <x v="24"/>
  </r>
  <r>
    <x v="0"/>
    <x v="26"/>
    <s v="N/A"/>
    <x v="2"/>
    <x v="24"/>
  </r>
  <r>
    <x v="2"/>
    <x v="27"/>
    <s v="N/A"/>
    <x v="2"/>
    <x v="25"/>
  </r>
  <r>
    <x v="0"/>
    <x v="28"/>
    <s v="N/A"/>
    <x v="2"/>
    <x v="25"/>
  </r>
  <r>
    <x v="1"/>
    <x v="21"/>
    <s v="N/A"/>
    <x v="2"/>
    <x v="26"/>
  </r>
  <r>
    <x v="2"/>
    <x v="29"/>
    <s v="N/A"/>
    <x v="2"/>
    <x v="26"/>
  </r>
  <r>
    <x v="3"/>
    <x v="8"/>
    <s v="N/A"/>
    <x v="2"/>
    <x v="26"/>
  </r>
  <r>
    <x v="2"/>
    <x v="30"/>
    <s v="N/A"/>
    <x v="2"/>
    <x v="27"/>
  </r>
  <r>
    <x v="0"/>
    <x v="31"/>
    <s v="N/A"/>
    <x v="2"/>
    <x v="28"/>
  </r>
  <r>
    <x v="0"/>
    <x v="32"/>
    <s v="N/A"/>
    <x v="2"/>
    <x v="28"/>
  </r>
  <r>
    <x v="0"/>
    <x v="33"/>
    <s v="N/A"/>
    <x v="2"/>
    <x v="29"/>
  </r>
  <r>
    <x v="2"/>
    <x v="34"/>
    <s v="N/A"/>
    <x v="2"/>
    <x v="30"/>
  </r>
  <r>
    <x v="3"/>
    <x v="9"/>
    <s v="N/A"/>
    <x v="2"/>
    <x v="31"/>
  </r>
  <r>
    <x v="4"/>
    <x v="35"/>
    <s v="N/A"/>
    <x v="2"/>
    <x v="32"/>
  </r>
  <r>
    <x v="0"/>
    <x v="13"/>
    <s v="N/A"/>
    <x v="2"/>
    <x v="33"/>
  </r>
  <r>
    <x v="5"/>
    <x v="0"/>
    <s v="N/A"/>
    <x v="7"/>
    <x v="34"/>
  </r>
  <r>
    <x v="1"/>
    <x v="21"/>
    <s v="N/A"/>
    <x v="2"/>
    <x v="35"/>
  </r>
  <r>
    <x v="2"/>
    <x v="24"/>
    <s v="N/A"/>
    <x v="2"/>
    <x v="36"/>
  </r>
  <r>
    <x v="0"/>
    <x v="13"/>
    <s v="N/A"/>
    <x v="2"/>
    <x v="37"/>
  </r>
  <r>
    <x v="0"/>
    <x v="36"/>
    <s v="N/A"/>
    <x v="2"/>
    <x v="38"/>
  </r>
  <r>
    <x v="6"/>
    <x v="0"/>
    <s v="N/A"/>
    <x v="8"/>
    <x v="39"/>
  </r>
  <r>
    <x v="2"/>
    <x v="37"/>
    <s v="N/A"/>
    <x v="2"/>
    <x v="40"/>
  </r>
  <r>
    <x v="4"/>
    <x v="38"/>
    <s v="N/A"/>
    <x v="2"/>
    <x v="41"/>
  </r>
  <r>
    <x v="1"/>
    <x v="21"/>
    <s v="N/A"/>
    <x v="2"/>
    <x v="41"/>
  </r>
  <r>
    <x v="0"/>
    <x v="13"/>
    <s v="N/A"/>
    <x v="2"/>
    <x v="42"/>
  </r>
  <r>
    <x v="4"/>
    <x v="14"/>
    <s v="N/A"/>
    <x v="2"/>
    <x v="43"/>
  </r>
  <r>
    <x v="4"/>
    <x v="39"/>
    <s v="N/A"/>
    <x v="2"/>
    <x v="44"/>
  </r>
  <r>
    <x v="0"/>
    <x v="13"/>
    <s v="N/A"/>
    <x v="2"/>
    <x v="45"/>
  </r>
  <r>
    <x v="2"/>
    <x v="40"/>
    <s v="N/A"/>
    <x v="2"/>
    <x v="46"/>
  </r>
  <r>
    <x v="1"/>
    <x v="21"/>
    <s v="N/A"/>
    <x v="2"/>
    <x v="47"/>
  </r>
  <r>
    <x v="4"/>
    <x v="41"/>
    <s v="N/A"/>
    <x v="2"/>
    <x v="47"/>
  </r>
  <r>
    <x v="4"/>
    <x v="24"/>
    <s v="N/A"/>
    <x v="2"/>
    <x v="48"/>
  </r>
  <r>
    <x v="4"/>
    <x v="42"/>
    <s v="N/A"/>
    <x v="2"/>
    <x v="48"/>
  </r>
  <r>
    <x v="0"/>
    <x v="13"/>
    <s v="N/A"/>
    <x v="2"/>
    <x v="49"/>
  </r>
  <r>
    <x v="2"/>
    <x v="40"/>
    <s v="N/A"/>
    <x v="2"/>
    <x v="50"/>
  </r>
  <r>
    <x v="2"/>
    <x v="43"/>
    <s v="N/A"/>
    <x v="2"/>
    <x v="51"/>
  </r>
  <r>
    <x v="2"/>
    <x v="40"/>
    <s v="N/A"/>
    <x v="2"/>
    <x v="52"/>
  </r>
  <r>
    <x v="0"/>
    <x v="13"/>
    <s v="N/A"/>
    <x v="2"/>
    <x v="52"/>
  </r>
  <r>
    <x v="4"/>
    <x v="44"/>
    <s v="N/A"/>
    <x v="2"/>
    <x v="53"/>
  </r>
  <r>
    <x v="2"/>
    <x v="45"/>
    <s v="N/A"/>
    <x v="2"/>
    <x v="54"/>
  </r>
  <r>
    <x v="2"/>
    <x v="46"/>
    <s v="N/A"/>
    <x v="2"/>
    <x v="55"/>
  </r>
  <r>
    <x v="0"/>
    <x v="13"/>
    <s v="N/A"/>
    <x v="2"/>
    <x v="56"/>
  </r>
  <r>
    <x v="1"/>
    <x v="21"/>
    <s v="N/A"/>
    <x v="2"/>
    <x v="57"/>
  </r>
  <r>
    <x v="2"/>
    <x v="46"/>
    <s v="N/A"/>
    <x v="2"/>
    <x v="58"/>
  </r>
  <r>
    <x v="4"/>
    <x v="47"/>
    <s v="N/A"/>
    <x v="2"/>
    <x v="59"/>
  </r>
  <r>
    <x v="2"/>
    <x v="48"/>
    <s v="N/A"/>
    <x v="2"/>
    <x v="60"/>
  </r>
  <r>
    <x v="4"/>
    <x v="49"/>
    <s v="N/A"/>
    <x v="2"/>
    <x v="61"/>
  </r>
  <r>
    <x v="0"/>
    <x v="13"/>
    <s v="N/A"/>
    <x v="2"/>
    <x v="62"/>
  </r>
  <r>
    <x v="2"/>
    <x v="14"/>
    <s v="N/A"/>
    <x v="2"/>
    <x v="63"/>
  </r>
  <r>
    <x v="4"/>
    <x v="50"/>
    <s v="N/A"/>
    <x v="2"/>
    <x v="64"/>
  </r>
  <r>
    <x v="0"/>
    <x v="13"/>
    <s v="N/A"/>
    <x v="2"/>
    <x v="65"/>
  </r>
  <r>
    <x v="2"/>
    <x v="3"/>
    <s v="N/A"/>
    <x v="2"/>
    <x v="65"/>
  </r>
  <r>
    <x v="2"/>
    <x v="21"/>
    <s v="N/A"/>
    <x v="2"/>
    <x v="66"/>
  </r>
  <r>
    <x v="2"/>
    <x v="8"/>
    <s v="N/A"/>
    <x v="2"/>
    <x v="67"/>
  </r>
  <r>
    <x v="0"/>
    <x v="13"/>
    <s v="N/A"/>
    <x v="2"/>
    <x v="68"/>
  </r>
  <r>
    <x v="0"/>
    <x v="13"/>
    <s v="N/A"/>
    <x v="2"/>
    <x v="69"/>
  </r>
  <r>
    <x v="4"/>
    <x v="51"/>
    <s v="N/A"/>
    <x v="2"/>
    <x v="70"/>
  </r>
  <r>
    <x v="2"/>
    <x v="21"/>
    <s v="N/A"/>
    <x v="2"/>
    <x v="71"/>
  </r>
  <r>
    <x v="2"/>
    <x v="52"/>
    <s v="N/A"/>
    <x v="2"/>
    <x v="72"/>
  </r>
  <r>
    <x v="4"/>
    <x v="53"/>
    <s v="N/A"/>
    <x v="2"/>
    <x v="73"/>
  </r>
  <r>
    <x v="0"/>
    <x v="13"/>
    <s v="N/A"/>
    <x v="2"/>
    <x v="74"/>
  </r>
  <r>
    <x v="4"/>
    <x v="54"/>
    <s v="N/A"/>
    <x v="2"/>
    <x v="75"/>
  </r>
  <r>
    <x v="4"/>
    <x v="55"/>
    <s v="N/A"/>
    <x v="2"/>
    <x v="76"/>
  </r>
  <r>
    <x v="4"/>
    <x v="41"/>
    <s v="N/A"/>
    <x v="2"/>
    <x v="77"/>
  </r>
  <r>
    <x v="4"/>
    <x v="56"/>
    <s v="N/A"/>
    <x v="2"/>
    <x v="78"/>
  </r>
  <r>
    <x v="4"/>
    <x v="9"/>
    <s v="N/A"/>
    <x v="2"/>
    <x v="79"/>
  </r>
  <r>
    <x v="4"/>
    <x v="57"/>
    <s v="N/A"/>
    <x v="2"/>
    <x v="80"/>
  </r>
  <r>
    <x v="0"/>
    <x v="13"/>
    <s v="N/A"/>
    <x v="2"/>
    <x v="81"/>
  </r>
  <r>
    <x v="4"/>
    <x v="24"/>
    <s v="N/A"/>
    <x v="2"/>
    <x v="82"/>
  </r>
  <r>
    <x v="4"/>
    <x v="58"/>
    <s v="N/A"/>
    <x v="9"/>
    <x v="83"/>
  </r>
  <r>
    <x v="4"/>
    <x v="59"/>
    <s v="N/A"/>
    <x v="2"/>
    <x v="84"/>
  </r>
  <r>
    <x v="4"/>
    <x v="60"/>
    <s v="N/A"/>
    <x v="2"/>
    <x v="85"/>
  </r>
  <r>
    <x v="0"/>
    <x v="13"/>
    <s v="N/A"/>
    <x v="2"/>
    <x v="86"/>
  </r>
  <r>
    <x v="4"/>
    <x v="61"/>
    <s v="N/A"/>
    <x v="2"/>
    <x v="87"/>
  </r>
  <r>
    <x v="4"/>
    <x v="62"/>
    <s v="N/A"/>
    <x v="2"/>
    <x v="88"/>
  </r>
  <r>
    <x v="0"/>
    <x v="13"/>
    <s v="N/A"/>
    <x v="2"/>
    <x v="88"/>
  </r>
  <r>
    <x v="0"/>
    <x v="63"/>
    <s v="N/A"/>
    <x v="2"/>
    <x v="89"/>
  </r>
  <r>
    <x v="4"/>
    <x v="64"/>
    <s v="N/A"/>
    <x v="2"/>
    <x v="90"/>
  </r>
  <r>
    <x v="1"/>
    <x v="65"/>
    <s v="N/A"/>
    <x v="2"/>
    <x v="91"/>
  </r>
  <r>
    <x v="0"/>
    <x v="66"/>
    <s v="N/A"/>
    <x v="2"/>
    <x v="92"/>
  </r>
  <r>
    <x v="4"/>
    <x v="67"/>
    <s v="N/A"/>
    <x v="2"/>
    <x v="93"/>
  </r>
  <r>
    <x v="1"/>
    <x v="68"/>
    <s v="N/A"/>
    <x v="2"/>
    <x v="94"/>
  </r>
  <r>
    <x v="0"/>
    <x v="69"/>
    <s v="N/A"/>
    <x v="2"/>
    <x v="95"/>
  </r>
  <r>
    <x v="4"/>
    <x v="70"/>
    <s v="N/A"/>
    <x v="2"/>
    <x v="96"/>
  </r>
  <r>
    <x v="2"/>
    <x v="70"/>
    <s v="N/A"/>
    <x v="2"/>
    <x v="96"/>
  </r>
  <r>
    <x v="4"/>
    <x v="71"/>
    <s v="N/A"/>
    <x v="2"/>
    <x v="97"/>
  </r>
  <r>
    <x v="4"/>
    <x v="49"/>
    <s v="N/A"/>
    <x v="2"/>
    <x v="98"/>
  </r>
  <r>
    <x v="7"/>
    <x v="72"/>
    <n v="56.464285714285715"/>
    <x v="10"/>
    <x v="99"/>
  </r>
  <r>
    <x v="8"/>
    <x v="73"/>
    <m/>
    <x v="11"/>
    <x v="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Government tax"/>
    <x v="0"/>
    <s v="N/A"/>
    <n v="11517"/>
    <x v="0"/>
    <n v="2022"/>
    <s v="Fam"/>
  </r>
  <r>
    <s v="OSHC"/>
    <x v="0"/>
    <n v="54.106000000000002"/>
    <n v="78345"/>
    <x v="0"/>
    <n v="2022"/>
    <s v="Fam"/>
  </r>
  <r>
    <s v="Fees"/>
    <x v="0"/>
    <n v="54.106000000000002"/>
    <n v="731068"/>
    <x v="0"/>
    <n v="2022"/>
    <s v="Fam"/>
  </r>
  <r>
    <s v="Fees"/>
    <x v="0"/>
    <n v="54.106000000000002"/>
    <n v="100000"/>
    <x v="1"/>
    <n v="2022"/>
    <s v="Loan"/>
  </r>
  <r>
    <s v="Ssaf"/>
    <x v="1"/>
    <s v="N/A"/>
    <s v="N/A"/>
    <x v="2"/>
    <n v="2023"/>
    <s v="Me"/>
  </r>
  <r>
    <s v="Fees"/>
    <x v="2"/>
    <s v="N/A"/>
    <s v="N/A"/>
    <x v="3"/>
    <n v="2023"/>
    <s v="Me"/>
  </r>
  <r>
    <s v="Fees"/>
    <x v="0"/>
    <n v="55.22"/>
    <n v="467937"/>
    <x v="4"/>
    <n v="2023"/>
    <s v="Fam"/>
  </r>
  <r>
    <s v="Fees"/>
    <x v="0"/>
    <n v="55.22"/>
    <n v="250000"/>
    <x v="4"/>
    <n v="2023"/>
    <s v="Loan"/>
  </r>
  <r>
    <s v="Fees"/>
    <x v="3"/>
    <s v="N/A"/>
    <s v="N/A"/>
    <x v="5"/>
    <n v="2024"/>
    <s v="Me"/>
  </r>
  <r>
    <s v="Fees"/>
    <x v="0"/>
    <n v="55.54"/>
    <n v="450000"/>
    <x v="6"/>
    <n v="2024"/>
    <s v="Fam"/>
  </r>
  <r>
    <s v="Fees"/>
    <x v="0"/>
    <n v="55.54"/>
    <n v="126048"/>
    <x v="6"/>
    <n v="2024"/>
    <s v="Loan"/>
  </r>
  <r>
    <s v="Total"/>
    <x v="4"/>
    <n v="54.83400000000001"/>
    <n v="2214915"/>
    <x v="7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">
  <r>
    <s v="None"/>
    <n v="0"/>
    <x v="0"/>
    <n v="2023"/>
    <n v="15"/>
    <n v="15"/>
    <n v="15"/>
    <n v="1"/>
  </r>
  <r>
    <s v="Grocery"/>
    <n v="10.7"/>
    <x v="0"/>
    <n v="2023"/>
    <n v="15"/>
    <n v="4.3000000000000007"/>
    <n v="15"/>
    <n v="1"/>
  </r>
  <r>
    <s v="Grocery"/>
    <n v="4.75"/>
    <x v="0"/>
    <n v="2023"/>
    <n v="4.3000000000000007"/>
    <n v="-0.44999999999999929"/>
    <n v="15"/>
    <n v="1"/>
  </r>
  <r>
    <s v="Grocery"/>
    <n v="3"/>
    <x v="0"/>
    <n v="2023"/>
    <n v="-0.44999999999999929"/>
    <n v="-3.4499999999999993"/>
    <n v="15"/>
    <n v="1"/>
  </r>
  <r>
    <s v="Eat out"/>
    <n v="6"/>
    <x v="1"/>
    <n v="2023"/>
    <n v="11.55"/>
    <n v="5.5500000000000007"/>
    <n v="30"/>
    <n v="2"/>
  </r>
  <r>
    <s v="Grocery"/>
    <n v="13.625"/>
    <x v="1"/>
    <n v="2023"/>
    <n v="5.5500000000000007"/>
    <n v="-8.0749999999999993"/>
    <n v="30"/>
    <n v="2"/>
  </r>
  <r>
    <s v="Eat out"/>
    <n v="6"/>
    <x v="2"/>
    <n v="2023"/>
    <n v="6.9250000000000007"/>
    <n v="0.92500000000000071"/>
    <n v="45"/>
    <n v="3"/>
  </r>
  <r>
    <s v="Grocery"/>
    <n v="31.2"/>
    <x v="2"/>
    <n v="2023"/>
    <n v="0.92500000000000071"/>
    <n v="-30.274999999999999"/>
    <n v="45"/>
    <n v="3"/>
  </r>
  <r>
    <s v="Eat out"/>
    <n v="1.5"/>
    <x v="3"/>
    <n v="2023"/>
    <n v="-15.274999999999999"/>
    <n v="-16.774999999999999"/>
    <n v="60"/>
    <n v="4"/>
  </r>
  <r>
    <s v="Grocery"/>
    <n v="5.05"/>
    <x v="3"/>
    <n v="2023"/>
    <n v="-16.774999999999999"/>
    <n v="-21.824999999999999"/>
    <n v="60"/>
    <n v="4"/>
  </r>
  <r>
    <s v="Eat out"/>
    <n v="6"/>
    <x v="4"/>
    <n v="2023"/>
    <n v="-6.8249999999999993"/>
    <n v="-12.824999999999999"/>
    <n v="75"/>
    <n v="5"/>
  </r>
  <r>
    <s v="Grocery"/>
    <n v="3.3"/>
    <x v="4"/>
    <n v="2023"/>
    <n v="-12.824999999999999"/>
    <n v="-16.125"/>
    <n v="75"/>
    <n v="5"/>
  </r>
  <r>
    <s v="Eat out"/>
    <n v="1.5"/>
    <x v="5"/>
    <n v="2023"/>
    <n v="-1.125"/>
    <n v="-2.625"/>
    <n v="90"/>
    <n v="6"/>
  </r>
  <r>
    <s v="Eat out"/>
    <n v="2"/>
    <x v="6"/>
    <n v="2023"/>
    <n v="12.375"/>
    <n v="10.375"/>
    <n v="105"/>
    <n v="7"/>
  </r>
  <r>
    <s v="Eat out"/>
    <n v="25.75"/>
    <x v="6"/>
    <n v="2023"/>
    <n v="10.375"/>
    <n v="-15.375"/>
    <n v="105"/>
    <n v="7"/>
  </r>
  <r>
    <s v="Eat out"/>
    <n v="6"/>
    <x v="7"/>
    <n v="2023"/>
    <n v="-0.375"/>
    <n v="-6.375"/>
    <n v="120"/>
    <n v="8"/>
  </r>
  <r>
    <s v="Eat out"/>
    <n v="1"/>
    <x v="7"/>
    <n v="2023"/>
    <n v="-6.375"/>
    <n v="-7.375"/>
    <n v="120"/>
    <n v="8"/>
  </r>
  <r>
    <s v="Eat out"/>
    <n v="3"/>
    <x v="8"/>
    <n v="2023"/>
    <n v="7.625"/>
    <n v="4.625"/>
    <n v="135"/>
    <n v="9"/>
  </r>
  <r>
    <s v="Eat out"/>
    <n v="6"/>
    <x v="9"/>
    <n v="2023"/>
    <n v="19.625"/>
    <n v="13.625"/>
    <n v="150"/>
    <n v="10"/>
  </r>
  <r>
    <s v="Grocery"/>
    <n v="1.8"/>
    <x v="9"/>
    <n v="2023"/>
    <n v="13.625"/>
    <n v="11.824999999999999"/>
    <n v="150"/>
    <n v="10"/>
  </r>
  <r>
    <s v="Eat out"/>
    <n v="1"/>
    <x v="10"/>
    <n v="2023"/>
    <n v="26.824999999999999"/>
    <n v="25.824999999999999"/>
    <n v="165"/>
    <n v="11"/>
  </r>
  <r>
    <s v="Eat out"/>
    <n v="4.5"/>
    <x v="10"/>
    <n v="2023"/>
    <n v="25.824999999999999"/>
    <n v="21.324999999999999"/>
    <n v="165"/>
    <n v="11"/>
  </r>
  <r>
    <s v="Eat out"/>
    <n v="4.5"/>
    <x v="11"/>
    <n v="2023"/>
    <n v="36.325000000000003"/>
    <n v="31.825000000000003"/>
    <n v="180"/>
    <n v="12"/>
  </r>
  <r>
    <s v="Eat out"/>
    <n v="1"/>
    <x v="11"/>
    <n v="2023"/>
    <n v="31.825000000000003"/>
    <n v="30.825000000000003"/>
    <n v="180"/>
    <n v="12"/>
  </r>
  <r>
    <s v="Grocery"/>
    <n v="0.9"/>
    <x v="11"/>
    <n v="2023"/>
    <n v="30.825000000000003"/>
    <n v="29.925000000000004"/>
    <n v="180"/>
    <n v="12"/>
  </r>
  <r>
    <s v="Eat out"/>
    <n v="1.5"/>
    <x v="12"/>
    <n v="2023"/>
    <n v="44.925000000000004"/>
    <n v="43.425000000000004"/>
    <n v="195"/>
    <n v="13"/>
  </r>
  <r>
    <s v="Eat out"/>
    <n v="1"/>
    <x v="12"/>
    <n v="2023"/>
    <n v="43.425000000000004"/>
    <n v="42.425000000000004"/>
    <n v="195"/>
    <n v="13"/>
  </r>
  <r>
    <s v="Eat out"/>
    <n v="25.7"/>
    <x v="12"/>
    <n v="2023"/>
    <n v="42.425000000000004"/>
    <n v="16.725000000000005"/>
    <n v="195"/>
    <n v="13"/>
  </r>
  <r>
    <s v="Eat out"/>
    <n v="6"/>
    <x v="13"/>
    <n v="2023"/>
    <n v="31.725000000000005"/>
    <n v="25.725000000000005"/>
    <n v="210"/>
    <n v="14"/>
  </r>
  <r>
    <s v="Grocery"/>
    <n v="14.9"/>
    <x v="13"/>
    <n v="2023"/>
    <n v="25.725000000000005"/>
    <n v="10.825000000000005"/>
    <n v="210"/>
    <n v="14"/>
  </r>
  <r>
    <s v="Eat out"/>
    <n v="6"/>
    <x v="14"/>
    <n v="2023"/>
    <n v="25.825000000000003"/>
    <n v="19.825000000000003"/>
    <n v="225"/>
    <n v="15"/>
  </r>
  <r>
    <s v="Eat out"/>
    <n v="1"/>
    <x v="14"/>
    <n v="2023"/>
    <n v="19.825000000000003"/>
    <n v="18.825000000000003"/>
    <n v="225"/>
    <n v="15"/>
  </r>
  <r>
    <s v="None"/>
    <n v="0"/>
    <x v="15"/>
    <n v="2023"/>
    <n v="33.825000000000003"/>
    <n v="33.825000000000003"/>
    <n v="240"/>
    <n v="16"/>
  </r>
  <r>
    <s v="Eat out"/>
    <n v="1"/>
    <x v="16"/>
    <n v="2023"/>
    <n v="48.825000000000003"/>
    <n v="47.825000000000003"/>
    <n v="255"/>
    <n v="17"/>
  </r>
  <r>
    <s v="Eat out"/>
    <n v="1"/>
    <x v="16"/>
    <n v="2023"/>
    <n v="47.825000000000003"/>
    <n v="46.825000000000003"/>
    <n v="255"/>
    <n v="17"/>
  </r>
  <r>
    <s v="Eat out"/>
    <n v="0.5"/>
    <x v="16"/>
    <n v="2023"/>
    <n v="46.825000000000003"/>
    <n v="46.325000000000003"/>
    <n v="255"/>
    <n v="17"/>
  </r>
  <r>
    <s v="Eat out"/>
    <n v="6"/>
    <x v="17"/>
    <n v="2023"/>
    <n v="61.325000000000003"/>
    <n v="55.325000000000003"/>
    <n v="270"/>
    <n v="18"/>
  </r>
  <r>
    <s v="Eat out"/>
    <n v="1"/>
    <x v="18"/>
    <n v="2023"/>
    <n v="70.325000000000003"/>
    <n v="69.325000000000003"/>
    <n v="285"/>
    <n v="19"/>
  </r>
  <r>
    <s v="None"/>
    <n v="0"/>
    <x v="19"/>
    <n v="2023"/>
    <n v="84.325000000000003"/>
    <n v="84.325000000000003"/>
    <n v="300"/>
    <n v="20"/>
  </r>
  <r>
    <s v="Eat out"/>
    <n v="1"/>
    <x v="20"/>
    <n v="2023"/>
    <n v="99.325000000000003"/>
    <n v="98.325000000000003"/>
    <n v="315"/>
    <n v="21"/>
  </r>
  <r>
    <s v="Grocery"/>
    <n v="5.9"/>
    <x v="20"/>
    <n v="2023"/>
    <n v="98.325000000000003"/>
    <n v="92.424999999999997"/>
    <n v="315"/>
    <n v="21"/>
  </r>
  <r>
    <s v="Eat out"/>
    <n v="6"/>
    <x v="21"/>
    <n v="2023"/>
    <n v="107.425"/>
    <n v="101.425"/>
    <n v="330"/>
    <n v="22"/>
  </r>
  <r>
    <s v="Eat out"/>
    <n v="1"/>
    <x v="22"/>
    <n v="2023"/>
    <n v="116.425"/>
    <n v="115.425"/>
    <n v="345"/>
    <n v="23"/>
  </r>
  <r>
    <s v="Eat out"/>
    <n v="1"/>
    <x v="22"/>
    <n v="2023"/>
    <n v="115.425"/>
    <n v="114.425"/>
    <n v="345"/>
    <n v="23"/>
  </r>
  <r>
    <s v="Eat out"/>
    <n v="1"/>
    <x v="23"/>
    <n v="2023"/>
    <n v="129.42500000000001"/>
    <n v="128.42500000000001"/>
    <n v="360"/>
    <n v="24"/>
  </r>
  <r>
    <s v="None"/>
    <n v="0"/>
    <x v="24"/>
    <n v="2023"/>
    <n v="143.42500000000001"/>
    <n v="143.42500000000001"/>
    <n v="375"/>
    <n v="25"/>
  </r>
  <r>
    <s v="Eat out"/>
    <n v="1"/>
    <x v="25"/>
    <n v="2023"/>
    <n v="158.42500000000001"/>
    <n v="157.42500000000001"/>
    <n v="390"/>
    <n v="26"/>
  </r>
  <r>
    <s v="Eat out"/>
    <n v="6"/>
    <x v="25"/>
    <n v="2023"/>
    <n v="157.42500000000001"/>
    <n v="151.42500000000001"/>
    <n v="390"/>
    <n v="26"/>
  </r>
  <r>
    <s v="None"/>
    <n v="0"/>
    <x v="26"/>
    <n v="2023"/>
    <n v="166.42500000000001"/>
    <n v="166.42500000000001"/>
    <n v="405"/>
    <n v="27"/>
  </r>
  <r>
    <s v="Grocery"/>
    <n v="1.85"/>
    <x v="26"/>
    <n v="2023"/>
    <n v="166.42500000000001"/>
    <n v="164.57500000000002"/>
    <n v="405"/>
    <n v="27"/>
  </r>
  <r>
    <s v="Grocery"/>
    <n v="8.4"/>
    <x v="26"/>
    <n v="2023"/>
    <n v="164.57500000000002"/>
    <n v="156.17500000000001"/>
    <n v="405"/>
    <n v="27"/>
  </r>
  <r>
    <s v="None"/>
    <n v="0"/>
    <x v="27"/>
    <n v="2023"/>
    <n v="171.17500000000001"/>
    <n v="171.17500000000001"/>
    <n v="420"/>
    <n v="28"/>
  </r>
  <r>
    <s v="Eat out"/>
    <n v="1"/>
    <x v="28"/>
    <n v="2023"/>
    <n v="186.17500000000001"/>
    <n v="185.17500000000001"/>
    <n v="435"/>
    <n v="29"/>
  </r>
  <r>
    <s v="None"/>
    <n v="0"/>
    <x v="29"/>
    <n v="2023"/>
    <n v="200.17500000000001"/>
    <n v="200.17500000000001"/>
    <n v="450"/>
    <n v="30"/>
  </r>
  <r>
    <s v="None"/>
    <n v="0"/>
    <x v="30"/>
    <n v="2023"/>
    <n v="215.17500000000001"/>
    <n v="215.17500000000001"/>
    <n v="465"/>
    <n v="31"/>
  </r>
  <r>
    <s v="Eat out"/>
    <n v="1"/>
    <x v="31"/>
    <n v="2023"/>
    <n v="230.17500000000001"/>
    <n v="229.17500000000001"/>
    <n v="480"/>
    <n v="32"/>
  </r>
  <r>
    <s v="Eat out"/>
    <n v="1"/>
    <x v="32"/>
    <n v="2023"/>
    <n v="244.17500000000001"/>
    <n v="243.17500000000001"/>
    <n v="495"/>
    <n v="33"/>
  </r>
  <r>
    <s v="Eat out"/>
    <n v="1"/>
    <x v="33"/>
    <n v="2023"/>
    <n v="258.17500000000001"/>
    <n v="257.17500000000001"/>
    <n v="510"/>
    <n v="34"/>
  </r>
  <r>
    <s v="Eat out"/>
    <n v="3"/>
    <x v="33"/>
    <n v="2023"/>
    <n v="257.17500000000001"/>
    <n v="254.17500000000001"/>
    <n v="510"/>
    <n v="34"/>
  </r>
  <r>
    <s v="Eat out"/>
    <n v="12.7"/>
    <x v="33"/>
    <n v="2023"/>
    <n v="254.17500000000001"/>
    <n v="241.47500000000002"/>
    <n v="510"/>
    <n v="34"/>
  </r>
  <r>
    <s v="Grocery"/>
    <n v="9.1750000000000007"/>
    <x v="33"/>
    <n v="2023"/>
    <n v="241.47500000000002"/>
    <n v="232.3"/>
    <n v="510"/>
    <n v="34"/>
  </r>
  <r>
    <s v="Grocery"/>
    <n v="8.7750000000000004"/>
    <x v="33"/>
    <n v="2023"/>
    <n v="232.3"/>
    <n v="223.52500000000001"/>
    <n v="510"/>
    <n v="34"/>
  </r>
  <r>
    <s v="Eat out"/>
    <n v="1"/>
    <x v="34"/>
    <n v="2023"/>
    <n v="238.52500000000001"/>
    <n v="237.52500000000001"/>
    <n v="525"/>
    <n v="35"/>
  </r>
  <r>
    <s v="Eat out"/>
    <n v="8.6199999999999992"/>
    <x v="34"/>
    <n v="2023"/>
    <n v="237.52500000000001"/>
    <n v="228.905"/>
    <n v="525"/>
    <n v="35"/>
  </r>
  <r>
    <s v="Eat out"/>
    <n v="1"/>
    <x v="35"/>
    <n v="2023"/>
    <n v="243.905"/>
    <n v="242.905"/>
    <n v="540"/>
    <n v="36"/>
  </r>
  <r>
    <s v="Eat out"/>
    <n v="2"/>
    <x v="36"/>
    <n v="2023"/>
    <n v="257.90499999999997"/>
    <n v="255.90499999999997"/>
    <n v="555"/>
    <n v="37"/>
  </r>
  <r>
    <s v="Eat out"/>
    <n v="1"/>
    <x v="37"/>
    <n v="2023"/>
    <n v="270.90499999999997"/>
    <n v="269.90499999999997"/>
    <n v="570"/>
    <n v="38"/>
  </r>
  <r>
    <s v="Eat out"/>
    <n v="6"/>
    <x v="37"/>
    <n v="2023"/>
    <n v="269.90499999999997"/>
    <n v="263.90499999999997"/>
    <n v="570"/>
    <n v="38"/>
  </r>
  <r>
    <s v="Eat out"/>
    <n v="8"/>
    <x v="38"/>
    <n v="2023"/>
    <n v="278.90499999999997"/>
    <n v="270.90499999999997"/>
    <n v="585"/>
    <n v="39"/>
  </r>
  <r>
    <s v="Eat out"/>
    <n v="1"/>
    <x v="38"/>
    <n v="2023"/>
    <n v="270.90499999999997"/>
    <n v="269.90499999999997"/>
    <n v="585"/>
    <n v="39"/>
  </r>
  <r>
    <s v="None"/>
    <n v="0"/>
    <x v="39"/>
    <n v="2023"/>
    <n v="284.90499999999997"/>
    <n v="284.90499999999997"/>
    <n v="600"/>
    <n v="40"/>
  </r>
  <r>
    <s v="Eat out"/>
    <n v="1"/>
    <x v="40"/>
    <n v="2023"/>
    <n v="299.90499999999997"/>
    <n v="298.90499999999997"/>
    <n v="615"/>
    <n v="41"/>
  </r>
  <r>
    <s v="Eat out"/>
    <n v="7.5"/>
    <x v="40"/>
    <n v="2023"/>
    <n v="298.90499999999997"/>
    <n v="291.40499999999997"/>
    <n v="615"/>
    <n v="41"/>
  </r>
  <r>
    <s v="None"/>
    <n v="0"/>
    <x v="41"/>
    <n v="2023"/>
    <n v="306.40499999999997"/>
    <n v="306.40499999999997"/>
    <n v="630"/>
    <n v="42"/>
  </r>
  <r>
    <s v="Grocery"/>
    <n v="9.8000000000000007"/>
    <x v="41"/>
    <n v="2023"/>
    <n v="306.40499999999997"/>
    <n v="296.60499999999996"/>
    <n v="630"/>
    <n v="42"/>
  </r>
  <r>
    <s v="None"/>
    <n v="0"/>
    <x v="42"/>
    <n v="2023"/>
    <n v="311.60499999999996"/>
    <n v="311.60499999999996"/>
    <n v="645"/>
    <n v="43"/>
  </r>
  <r>
    <s v="None"/>
    <n v="0"/>
    <x v="43"/>
    <n v="2023"/>
    <n v="326.60499999999996"/>
    <n v="326.60499999999996"/>
    <n v="660"/>
    <n v="44"/>
  </r>
  <r>
    <s v="Eat out"/>
    <n v="1"/>
    <x v="44"/>
    <n v="2023"/>
    <n v="341.60499999999996"/>
    <n v="340.60499999999996"/>
    <n v="675"/>
    <n v="45"/>
  </r>
  <r>
    <s v="Eat out"/>
    <n v="6"/>
    <x v="45"/>
    <n v="2023"/>
    <n v="355.60499999999996"/>
    <n v="349.60499999999996"/>
    <n v="690"/>
    <n v="46"/>
  </r>
  <r>
    <s v="Eat out"/>
    <n v="1"/>
    <x v="45"/>
    <n v="2023"/>
    <n v="349.60499999999996"/>
    <n v="348.60499999999996"/>
    <n v="690"/>
    <n v="46"/>
  </r>
  <r>
    <s v="Eat out"/>
    <n v="1"/>
    <x v="46"/>
    <n v="2023"/>
    <n v="363.60499999999996"/>
    <n v="362.60499999999996"/>
    <n v="705"/>
    <n v="47"/>
  </r>
  <r>
    <s v="Eat out"/>
    <n v="0.8"/>
    <x v="47"/>
    <n v="2023"/>
    <n v="377.60499999999996"/>
    <n v="376.80499999999995"/>
    <n v="720"/>
    <n v="48"/>
  </r>
  <r>
    <s v="Eat out"/>
    <n v="3"/>
    <x v="47"/>
    <n v="2023"/>
    <n v="376.80499999999995"/>
    <n v="373.80499999999995"/>
    <n v="720"/>
    <n v="48"/>
  </r>
  <r>
    <s v="None"/>
    <n v="0"/>
    <x v="48"/>
    <n v="2023"/>
    <n v="388.80499999999995"/>
    <n v="388.80499999999995"/>
    <n v="735"/>
    <n v="49"/>
  </r>
  <r>
    <s v="Eat out"/>
    <n v="1"/>
    <x v="49"/>
    <n v="2023"/>
    <n v="403.80499999999995"/>
    <n v="402.80499999999995"/>
    <n v="750"/>
    <n v="50"/>
  </r>
  <r>
    <s v="Eat out"/>
    <n v="3"/>
    <x v="50"/>
    <n v="2023"/>
    <n v="417.80499999999995"/>
    <n v="414.80499999999995"/>
    <n v="765"/>
    <n v="51"/>
  </r>
  <r>
    <s v="Eat out"/>
    <n v="7.5"/>
    <x v="51"/>
    <n v="2023"/>
    <n v="429.80499999999995"/>
    <n v="422.30499999999995"/>
    <n v="780"/>
    <n v="52"/>
  </r>
  <r>
    <s v="Eat out"/>
    <n v="1"/>
    <x v="51"/>
    <n v="2023"/>
    <n v="422.30499999999995"/>
    <n v="421.30499999999995"/>
    <n v="780"/>
    <n v="52"/>
  </r>
  <r>
    <s v="Eat out"/>
    <n v="3"/>
    <x v="52"/>
    <n v="2023"/>
    <n v="436.30499999999995"/>
    <n v="433.30499999999995"/>
    <n v="795"/>
    <n v="53"/>
  </r>
  <r>
    <s v="Eat out"/>
    <n v="1"/>
    <x v="52"/>
    <n v="2023"/>
    <n v="433.30499999999995"/>
    <n v="432.30499999999995"/>
    <n v="795"/>
    <n v="53"/>
  </r>
  <r>
    <s v="Eat out"/>
    <n v="2"/>
    <x v="53"/>
    <n v="2023"/>
    <n v="447.30499999999995"/>
    <n v="445.30499999999995"/>
    <n v="810"/>
    <n v="54"/>
  </r>
  <r>
    <s v="Eat out"/>
    <n v="29.03"/>
    <x v="53"/>
    <n v="2023"/>
    <n v="445.30499999999995"/>
    <n v="416.27499999999998"/>
    <n v="810"/>
    <n v="54"/>
  </r>
  <r>
    <s v="Eat out"/>
    <n v="2"/>
    <x v="54"/>
    <n v="2023"/>
    <n v="431.27499999999998"/>
    <n v="429.27499999999998"/>
    <n v="825"/>
    <n v="55"/>
  </r>
  <r>
    <s v="Eat out"/>
    <n v="4.8"/>
    <x v="54"/>
    <n v="2023"/>
    <n v="429.27499999999998"/>
    <n v="424.47499999999997"/>
    <n v="825"/>
    <n v="55"/>
  </r>
  <r>
    <s v="Grocery"/>
    <n v="12"/>
    <x v="55"/>
    <n v="2023"/>
    <n v="439.47499999999997"/>
    <n v="427.47499999999997"/>
    <n v="840"/>
    <n v="56"/>
  </r>
  <r>
    <s v="Grocery"/>
    <n v="12.35"/>
    <x v="55"/>
    <n v="2023"/>
    <n v="427.47499999999997"/>
    <n v="415.12499999999994"/>
    <n v="840"/>
    <n v="56"/>
  </r>
  <r>
    <s v="Eat out"/>
    <n v="1"/>
    <x v="56"/>
    <n v="2023"/>
    <n v="430.12499999999994"/>
    <n v="429.12499999999994"/>
    <n v="855"/>
    <n v="57"/>
  </r>
  <r>
    <s v="Eat out"/>
    <n v="1"/>
    <x v="57"/>
    <n v="2023"/>
    <n v="444.12499999999994"/>
    <n v="443.12499999999994"/>
    <n v="870"/>
    <n v="58"/>
  </r>
  <r>
    <s v="Eat out"/>
    <n v="3"/>
    <x v="58"/>
    <n v="2023"/>
    <n v="458.12499999999994"/>
    <n v="455.12499999999994"/>
    <n v="885"/>
    <n v="59"/>
  </r>
  <r>
    <s v="Eat out"/>
    <n v="7.5"/>
    <x v="58"/>
    <n v="2023"/>
    <n v="455.12499999999994"/>
    <n v="447.62499999999994"/>
    <n v="885"/>
    <n v="59"/>
  </r>
  <r>
    <s v="Eat out"/>
    <n v="1"/>
    <x v="58"/>
    <n v="2023"/>
    <n v="447.62499999999994"/>
    <n v="446.62499999999994"/>
    <n v="885"/>
    <n v="59"/>
  </r>
  <r>
    <s v="Eat out"/>
    <n v="19.989999999999998"/>
    <x v="59"/>
    <n v="2023"/>
    <n v="461.62499999999994"/>
    <n v="441.63499999999993"/>
    <n v="900"/>
    <n v="60"/>
  </r>
  <r>
    <s v="Eat out"/>
    <n v="0.4"/>
    <x v="60"/>
    <n v="2023"/>
    <n v="456.63499999999993"/>
    <n v="456.23499999999996"/>
    <n v="915"/>
    <n v="61"/>
  </r>
  <r>
    <s v="Eat out"/>
    <n v="7.5"/>
    <x v="61"/>
    <n v="2023"/>
    <n v="471.23499999999996"/>
    <n v="463.73499999999996"/>
    <n v="930"/>
    <n v="62"/>
  </r>
  <r>
    <s v="Eat out"/>
    <n v="4"/>
    <x v="61"/>
    <n v="2023"/>
    <n v="463.73499999999996"/>
    <n v="459.73499999999996"/>
    <n v="930"/>
    <n v="62"/>
  </r>
  <r>
    <s v="None"/>
    <n v="0"/>
    <x v="62"/>
    <n v="2023"/>
    <n v="474.73499999999996"/>
    <n v="474.73499999999996"/>
    <n v="945"/>
    <n v="63"/>
  </r>
  <r>
    <s v="None"/>
    <n v="0"/>
    <x v="63"/>
    <n v="2023"/>
    <n v="489.73499999999996"/>
    <n v="489.73499999999996"/>
    <n v="960"/>
    <n v="64"/>
  </r>
  <r>
    <s v="Eat out"/>
    <n v="9"/>
    <x v="64"/>
    <n v="2023"/>
    <n v="504.73499999999996"/>
    <n v="495.73499999999996"/>
    <n v="975"/>
    <n v="65"/>
  </r>
  <r>
    <s v="Eat out"/>
    <n v="1"/>
    <x v="64"/>
    <n v="2023"/>
    <n v="495.73499999999996"/>
    <n v="494.73499999999996"/>
    <n v="975"/>
    <n v="65"/>
  </r>
  <r>
    <s v="Eat out"/>
    <n v="1"/>
    <x v="65"/>
    <n v="2023"/>
    <n v="509.73499999999996"/>
    <n v="508.73499999999996"/>
    <n v="990"/>
    <n v="66"/>
  </r>
  <r>
    <s v="Eat out"/>
    <n v="7"/>
    <x v="66"/>
    <n v="2023"/>
    <n v="523.7349999999999"/>
    <n v="516.7349999999999"/>
    <n v="1005"/>
    <n v="67"/>
  </r>
  <r>
    <s v="Eat out"/>
    <n v="5.95"/>
    <x v="67"/>
    <n v="2023"/>
    <n v="531.7349999999999"/>
    <n v="525.78499999999985"/>
    <n v="1020"/>
    <n v="68"/>
  </r>
  <r>
    <s v="Eat out"/>
    <n v="29.15"/>
    <x v="68"/>
    <n v="2023"/>
    <n v="540.78499999999985"/>
    <n v="511.63499999999988"/>
    <n v="1035"/>
    <n v="69"/>
  </r>
  <r>
    <s v="Eat out"/>
    <n v="1"/>
    <x v="68"/>
    <n v="2023"/>
    <n v="511.63499999999988"/>
    <n v="510.63499999999988"/>
    <n v="1035"/>
    <n v="69"/>
  </r>
  <r>
    <s v="Grocery"/>
    <n v="16.16"/>
    <x v="69"/>
    <n v="2023"/>
    <n v="525.63499999999988"/>
    <n v="509.47499999999985"/>
    <n v="1050"/>
    <n v="70"/>
  </r>
  <r>
    <s v="Grocery"/>
    <n v="10.65"/>
    <x v="69"/>
    <n v="2023"/>
    <n v="509.47499999999985"/>
    <n v="498.82499999999987"/>
    <n v="1050"/>
    <n v="70"/>
  </r>
  <r>
    <s v="Grocery"/>
    <n v="8.5"/>
    <x v="70"/>
    <n v="2023"/>
    <n v="513.82499999999982"/>
    <n v="505.32499999999982"/>
    <n v="1065"/>
    <n v="71"/>
  </r>
  <r>
    <s v="Grocery"/>
    <n v="7.625"/>
    <x v="70"/>
    <n v="2023"/>
    <n v="505.32499999999982"/>
    <n v="497.69999999999982"/>
    <n v="1065"/>
    <n v="71"/>
  </r>
  <r>
    <s v="Eat out"/>
    <n v="1"/>
    <x v="70"/>
    <n v="2023"/>
    <n v="497.69999999999982"/>
    <n v="496.69999999999982"/>
    <n v="1065"/>
    <n v="71"/>
  </r>
  <r>
    <s v="Eat out"/>
    <n v="17.54"/>
    <x v="71"/>
    <n v="2023"/>
    <n v="511.69999999999982"/>
    <n v="494.1599999999998"/>
    <n v="1080"/>
    <n v="72"/>
  </r>
  <r>
    <s v="Eat out"/>
    <n v="7.5"/>
    <x v="72"/>
    <n v="2023"/>
    <n v="509.1599999999998"/>
    <n v="501.6599999999998"/>
    <n v="1095"/>
    <n v="73"/>
  </r>
  <r>
    <s v="Eat out"/>
    <n v="6.25"/>
    <x v="73"/>
    <n v="2023"/>
    <n v="516.65999999999985"/>
    <n v="510.40999999999985"/>
    <n v="1110"/>
    <n v="74"/>
  </r>
  <r>
    <s v="Eat out"/>
    <n v="1"/>
    <x v="73"/>
    <n v="2023"/>
    <n v="510.40999999999985"/>
    <n v="509.40999999999985"/>
    <n v="1110"/>
    <n v="74"/>
  </r>
  <r>
    <s v="Eat out"/>
    <n v="1"/>
    <x v="74"/>
    <n v="2023"/>
    <n v="524.40999999999985"/>
    <n v="523.40999999999985"/>
    <n v="1125"/>
    <n v="75"/>
  </r>
  <r>
    <s v="Eat out"/>
    <n v="7.5"/>
    <x v="74"/>
    <n v="2023"/>
    <n v="523.40999999999985"/>
    <n v="515.90999999999985"/>
    <n v="1125"/>
    <n v="75"/>
  </r>
  <r>
    <s v="Eat out"/>
    <n v="8"/>
    <x v="75"/>
    <n v="2023"/>
    <n v="530.90999999999985"/>
    <n v="522.90999999999985"/>
    <n v="1140"/>
    <n v="76"/>
  </r>
  <r>
    <s v="Eat out"/>
    <n v="21"/>
    <x v="76"/>
    <n v="2023"/>
    <n v="537.90999999999985"/>
    <n v="516.90999999999985"/>
    <n v="1155"/>
    <n v="77"/>
  </r>
  <r>
    <s v="None"/>
    <n v="0"/>
    <x v="77"/>
    <n v="2023"/>
    <n v="531.90999999999985"/>
    <n v="531.90999999999985"/>
    <n v="1170"/>
    <n v="78"/>
  </r>
  <r>
    <s v="Eat out"/>
    <n v="10.62"/>
    <x v="78"/>
    <n v="2023"/>
    <n v="546.90999999999985"/>
    <n v="536.28999999999985"/>
    <n v="1185"/>
    <n v="79"/>
  </r>
  <r>
    <s v="Eat out"/>
    <n v="7.2"/>
    <x v="79"/>
    <n v="2023"/>
    <n v="551.28999999999985"/>
    <n v="544.0899999999998"/>
    <n v="1200"/>
    <n v="80"/>
  </r>
  <r>
    <s v="Eat out"/>
    <n v="7.75"/>
    <x v="80"/>
    <n v="2023"/>
    <n v="559.0899999999998"/>
    <n v="551.3399999999998"/>
    <n v="1215"/>
    <n v="81"/>
  </r>
  <r>
    <s v="Eat out"/>
    <n v="12.3"/>
    <x v="81"/>
    <n v="2023"/>
    <n v="566.3399999999998"/>
    <n v="554.03999999999985"/>
    <n v="1230"/>
    <n v="82"/>
  </r>
  <r>
    <s v="Grocery"/>
    <n v="35.659999999999997"/>
    <x v="82"/>
    <n v="2023"/>
    <n v="569.03999999999985"/>
    <n v="533.37999999999988"/>
    <n v="1245"/>
    <n v="83"/>
  </r>
  <r>
    <s v="Eat out"/>
    <n v="1"/>
    <x v="83"/>
    <n v="2023"/>
    <n v="548.37999999999988"/>
    <n v="547.37999999999988"/>
    <n v="1260"/>
    <n v="84"/>
  </r>
  <r>
    <s v="None"/>
    <n v="0"/>
    <x v="84"/>
    <n v="2023"/>
    <n v="562.37999999999988"/>
    <n v="562.37999999999988"/>
    <n v="1275"/>
    <n v="85"/>
  </r>
  <r>
    <s v="None"/>
    <n v="0"/>
    <x v="85"/>
    <n v="2023"/>
    <n v="577.37999999999988"/>
    <n v="577.37999999999988"/>
    <n v="1290"/>
    <n v="86"/>
  </r>
  <r>
    <s v="Eat out"/>
    <n v="1"/>
    <x v="86"/>
    <n v="2023"/>
    <n v="592.37999999999988"/>
    <n v="591.37999999999988"/>
    <n v="1305"/>
    <n v="87"/>
  </r>
  <r>
    <s v="Eat out"/>
    <n v="7.5"/>
    <x v="87"/>
    <n v="2023"/>
    <n v="606.37999999999988"/>
    <n v="598.87999999999988"/>
    <n v="1320"/>
    <n v="88"/>
  </r>
  <r>
    <s v="Eat out"/>
    <n v="4.3499999999999996"/>
    <x v="88"/>
    <n v="2023"/>
    <n v="613.87999999999988"/>
    <n v="609.52999999999986"/>
    <n v="1335"/>
    <n v="89"/>
  </r>
  <r>
    <s v="None"/>
    <n v="0"/>
    <x v="88"/>
    <n v="2023"/>
    <n v="609.52999999999986"/>
    <n v="609.52999999999986"/>
    <n v="1335"/>
    <n v="89"/>
  </r>
  <r>
    <s v="Eat out"/>
    <n v="1"/>
    <x v="89"/>
    <n v="2023"/>
    <n v="624.52999999999986"/>
    <n v="623.52999999999986"/>
    <n v="1350"/>
    <n v="90"/>
  </r>
  <r>
    <s v="Eat out"/>
    <n v="10"/>
    <x v="90"/>
    <n v="2023"/>
    <n v="638.52999999999986"/>
    <n v="628.52999999999986"/>
    <n v="1365"/>
    <n v="91"/>
  </r>
  <r>
    <s v="Grocery"/>
    <n v="12"/>
    <x v="90"/>
    <n v="2023"/>
    <n v="628.52999999999986"/>
    <n v="616.52999999999986"/>
    <n v="1365"/>
    <n v="91"/>
  </r>
  <r>
    <s v="Eat out"/>
    <n v="8.5"/>
    <x v="91"/>
    <n v="2023"/>
    <n v="631.52999999999986"/>
    <n v="623.02999999999986"/>
    <n v="1380"/>
    <n v="92"/>
  </r>
  <r>
    <s v="Eat out"/>
    <n v="1.8"/>
    <x v="92"/>
    <n v="2023"/>
    <n v="638.02999999999986"/>
    <n v="636.2299999999999"/>
    <n v="1395"/>
    <n v="93"/>
  </r>
  <r>
    <s v="Grocery"/>
    <n v="45.7"/>
    <x v="92"/>
    <n v="2023"/>
    <n v="636.2299999999999"/>
    <n v="590.52999999999986"/>
    <n v="1395"/>
    <n v="93"/>
  </r>
  <r>
    <s v="Eat out"/>
    <n v="1"/>
    <x v="93"/>
    <n v="2023"/>
    <n v="605.52999999999986"/>
    <n v="604.52999999999986"/>
    <n v="1410"/>
    <n v="94"/>
  </r>
  <r>
    <s v="None"/>
    <n v="0"/>
    <x v="94"/>
    <n v="2023"/>
    <n v="619.52999999999986"/>
    <n v="619.52999999999986"/>
    <n v="1425"/>
    <n v="95"/>
  </r>
  <r>
    <s v="Eat out"/>
    <n v="2"/>
    <x v="95"/>
    <n v="2023"/>
    <n v="634.52999999999986"/>
    <n v="632.52999999999986"/>
    <n v="1440"/>
    <n v="96"/>
  </r>
  <r>
    <s v="None"/>
    <n v="0"/>
    <x v="96"/>
    <n v="2023"/>
    <n v="647.52999999999986"/>
    <n v="647.52999999999986"/>
    <n v="1455"/>
    <n v="97"/>
  </r>
  <r>
    <s v="None"/>
    <n v="0"/>
    <x v="97"/>
    <n v="2023"/>
    <n v="662.52999999999986"/>
    <n v="662.52999999999986"/>
    <n v="1470"/>
    <n v="98"/>
  </r>
  <r>
    <s v="Eat out"/>
    <n v="0.8"/>
    <x v="98"/>
    <n v="2023"/>
    <n v="677.52999999999986"/>
    <n v="676.7299999999999"/>
    <n v="1485"/>
    <n v="99"/>
  </r>
  <r>
    <s v="Eat out"/>
    <n v="4"/>
    <x v="98"/>
    <n v="2023"/>
    <n v="676.7299999999999"/>
    <n v="672.7299999999999"/>
    <n v="1485"/>
    <n v="99"/>
  </r>
  <r>
    <s v="Eat out"/>
    <n v="2"/>
    <x v="99"/>
    <n v="2023"/>
    <n v="687.7299999999999"/>
    <n v="685.7299999999999"/>
    <n v="1500"/>
    <n v="100"/>
  </r>
  <r>
    <s v="Grocery"/>
    <n v="15"/>
    <x v="100"/>
    <n v="2023"/>
    <n v="700.7299999999999"/>
    <n v="685.7299999999999"/>
    <n v="1515"/>
    <n v="101"/>
  </r>
  <r>
    <s v="Grocery"/>
    <n v="30.25"/>
    <x v="100"/>
    <n v="2023"/>
    <n v="685.7299999999999"/>
    <n v="655.4799999999999"/>
    <n v="1515"/>
    <n v="101"/>
  </r>
  <r>
    <s v="Eat out"/>
    <n v="3.9"/>
    <x v="101"/>
    <n v="2023"/>
    <n v="670.4799999999999"/>
    <n v="666.57999999999993"/>
    <n v="1530"/>
    <n v="102"/>
  </r>
  <r>
    <s v="Eat out"/>
    <n v="1"/>
    <x v="102"/>
    <n v="2023"/>
    <n v="681.57999999999993"/>
    <n v="680.57999999999993"/>
    <n v="1545"/>
    <n v="103"/>
  </r>
  <r>
    <s v="None"/>
    <n v="0"/>
    <x v="103"/>
    <n v="2023"/>
    <n v="695.57999999999993"/>
    <n v="695.57999999999993"/>
    <n v="1560"/>
    <n v="104"/>
  </r>
  <r>
    <s v="None"/>
    <n v="0"/>
    <x v="104"/>
    <n v="2023"/>
    <n v="710.57999999999993"/>
    <n v="710.57999999999993"/>
    <n v="1575"/>
    <n v="105"/>
  </r>
  <r>
    <s v="None"/>
    <n v="0"/>
    <x v="105"/>
    <n v="2023"/>
    <n v="725.57999999999993"/>
    <n v="725.57999999999993"/>
    <n v="1590"/>
    <n v="106"/>
  </r>
  <r>
    <s v="Eat out"/>
    <n v="7.5"/>
    <x v="106"/>
    <n v="2023"/>
    <n v="740.57999999999993"/>
    <n v="733.07999999999993"/>
    <n v="1605"/>
    <n v="107"/>
  </r>
  <r>
    <s v="Grocery"/>
    <n v="18.75"/>
    <x v="106"/>
    <n v="2023"/>
    <n v="733.07999999999993"/>
    <n v="714.32999999999993"/>
    <n v="1605"/>
    <n v="107"/>
  </r>
  <r>
    <s v="Grocery"/>
    <n v="2"/>
    <x v="107"/>
    <n v="2023"/>
    <n v="729.32999999999993"/>
    <n v="727.32999999999993"/>
    <n v="1620"/>
    <n v="108"/>
  </r>
  <r>
    <s v="None"/>
    <n v="0"/>
    <x v="108"/>
    <n v="2023"/>
    <n v="742.32999999999993"/>
    <n v="742.32999999999993"/>
    <n v="1635"/>
    <n v="109"/>
  </r>
  <r>
    <s v="Grocery"/>
    <n v="6.95"/>
    <x v="109"/>
    <n v="2023"/>
    <n v="757.32999999999993"/>
    <n v="750.37999999999988"/>
    <n v="1650"/>
    <n v="110"/>
  </r>
  <r>
    <s v="Eat out"/>
    <n v="4.7"/>
    <x v="109"/>
    <n v="2023"/>
    <n v="750.37999999999988"/>
    <n v="745.67999999999984"/>
    <n v="1650"/>
    <n v="110"/>
  </r>
  <r>
    <s v="None"/>
    <n v="0"/>
    <x v="110"/>
    <n v="2023"/>
    <n v="760.67999999999984"/>
    <n v="760.67999999999984"/>
    <n v="1665"/>
    <n v="111"/>
  </r>
  <r>
    <s v="None"/>
    <n v="0"/>
    <x v="111"/>
    <n v="2023"/>
    <n v="775.67999999999984"/>
    <n v="775.67999999999984"/>
    <n v="1680"/>
    <n v="112"/>
  </r>
  <r>
    <s v="Grocery"/>
    <n v="26"/>
    <x v="112"/>
    <n v="2023"/>
    <n v="790.67999999999984"/>
    <n v="764.67999999999984"/>
    <n v="1695"/>
    <n v="113"/>
  </r>
  <r>
    <s v="None"/>
    <n v="0"/>
    <x v="113"/>
    <n v="2023"/>
    <n v="779.67999999999984"/>
    <n v="779.67999999999984"/>
    <n v="1710"/>
    <n v="114"/>
  </r>
  <r>
    <s v="Eat out"/>
    <n v="1"/>
    <x v="114"/>
    <n v="2023"/>
    <n v="794.67999999999984"/>
    <n v="793.67999999999984"/>
    <n v="1725"/>
    <n v="115"/>
  </r>
  <r>
    <s v="None"/>
    <n v="0"/>
    <x v="115"/>
    <n v="2023"/>
    <n v="808.67999999999984"/>
    <n v="808.67999999999984"/>
    <n v="1740"/>
    <n v="116"/>
  </r>
  <r>
    <s v="Eat out"/>
    <n v="1"/>
    <x v="116"/>
    <n v="2023"/>
    <n v="823.67999999999984"/>
    <n v="822.67999999999984"/>
    <n v="1755"/>
    <n v="117"/>
  </r>
  <r>
    <s v="Grocery"/>
    <n v="13.9"/>
    <x v="117"/>
    <n v="2023"/>
    <n v="837.67999999999984"/>
    <n v="823.77999999999986"/>
    <n v="1770"/>
    <n v="118"/>
  </r>
  <r>
    <s v="Eat out"/>
    <n v="1"/>
    <x v="118"/>
    <n v="2023"/>
    <n v="838.77999999999986"/>
    <n v="837.77999999999986"/>
    <n v="1785"/>
    <n v="119"/>
  </r>
  <r>
    <s v="None"/>
    <n v="0"/>
    <x v="119"/>
    <n v="2023"/>
    <n v="852.77999999999986"/>
    <n v="852.77999999999986"/>
    <n v="1800"/>
    <n v="120"/>
  </r>
  <r>
    <s v="Eat out"/>
    <n v="2"/>
    <x v="120"/>
    <n v="2023"/>
    <n v="867.77999999999986"/>
    <n v="865.77999999999986"/>
    <n v="1815"/>
    <n v="121"/>
  </r>
  <r>
    <s v="None"/>
    <n v="0"/>
    <x v="121"/>
    <n v="2023"/>
    <n v="880.77999999999986"/>
    <n v="880.77999999999986"/>
    <n v="1830"/>
    <n v="122"/>
  </r>
  <r>
    <s v="Grocery"/>
    <n v="53.5"/>
    <x v="122"/>
    <n v="2023"/>
    <n v="895.77999999999986"/>
    <n v="842.27999999999986"/>
    <n v="1845"/>
    <n v="123"/>
  </r>
  <r>
    <s v="Eat out"/>
    <n v="7.5"/>
    <x v="123"/>
    <n v="2023"/>
    <n v="857.27999999999986"/>
    <n v="849.77999999999986"/>
    <n v="1860"/>
    <n v="124"/>
  </r>
  <r>
    <s v="Eat out"/>
    <n v="1"/>
    <x v="124"/>
    <n v="2023"/>
    <n v="864.77999999999986"/>
    <n v="863.77999999999986"/>
    <n v="1875"/>
    <n v="125"/>
  </r>
  <r>
    <s v="None"/>
    <n v="0"/>
    <x v="125"/>
    <n v="2023"/>
    <n v="878.77999999999986"/>
    <n v="878.77999999999986"/>
    <n v="1890"/>
    <n v="126"/>
  </r>
  <r>
    <s v="None"/>
    <n v="0"/>
    <x v="126"/>
    <n v="2023"/>
    <n v="893.77999999999986"/>
    <n v="893.77999999999986"/>
    <n v="1905"/>
    <n v="127"/>
  </r>
  <r>
    <s v="Eat out"/>
    <n v="1"/>
    <x v="127"/>
    <n v="2023"/>
    <n v="908.77999999999986"/>
    <n v="907.77999999999986"/>
    <n v="1920"/>
    <n v="128"/>
  </r>
  <r>
    <s v="Eat out"/>
    <n v="12"/>
    <x v="128"/>
    <n v="2023"/>
    <n v="922.77999999999986"/>
    <n v="910.77999999999986"/>
    <n v="1935"/>
    <n v="129"/>
  </r>
  <r>
    <s v="Grocery"/>
    <n v="53.5"/>
    <x v="129"/>
    <n v="2023"/>
    <n v="925.77999999999986"/>
    <n v="872.27999999999986"/>
    <n v="1950"/>
    <n v="130"/>
  </r>
  <r>
    <s v="None"/>
    <n v="0"/>
    <x v="130"/>
    <n v="2023"/>
    <n v="887.27999999999986"/>
    <n v="887.27999999999986"/>
    <n v="1965"/>
    <n v="131"/>
  </r>
  <r>
    <s v="Eat out"/>
    <n v="1"/>
    <x v="131"/>
    <n v="2023"/>
    <n v="902.27999999999986"/>
    <n v="901.27999999999986"/>
    <n v="1980"/>
    <n v="132"/>
  </r>
  <r>
    <s v="Grocery"/>
    <n v="4.2"/>
    <x v="132"/>
    <n v="2023"/>
    <n v="916.27999999999986"/>
    <n v="912.07999999999981"/>
    <n v="1995"/>
    <n v="133"/>
  </r>
  <r>
    <s v="Eat out"/>
    <n v="29.9"/>
    <x v="132"/>
    <n v="2023"/>
    <n v="912.07999999999981"/>
    <n v="882.17999999999984"/>
    <n v="1995"/>
    <n v="133"/>
  </r>
  <r>
    <s v="None"/>
    <n v="0"/>
    <x v="133"/>
    <n v="2023"/>
    <n v="897.17999999999984"/>
    <n v="897.17999999999984"/>
    <n v="2010"/>
    <n v="134"/>
  </r>
  <r>
    <s v="None"/>
    <n v="0"/>
    <x v="134"/>
    <n v="2023"/>
    <n v="912.17999999999984"/>
    <n v="912.17999999999984"/>
    <n v="2025"/>
    <n v="135"/>
  </r>
  <r>
    <s v="None"/>
    <n v="0"/>
    <x v="135"/>
    <n v="2023"/>
    <n v="927.17999999999984"/>
    <n v="927.17999999999984"/>
    <n v="2040"/>
    <n v="136"/>
  </r>
  <r>
    <s v="Grocery"/>
    <n v="22.78"/>
    <x v="136"/>
    <n v="2023"/>
    <n v="942.17999999999984"/>
    <n v="919.39999999999986"/>
    <n v="2055"/>
    <n v="137"/>
  </r>
  <r>
    <s v="Grocery"/>
    <n v="22.9"/>
    <x v="136"/>
    <n v="2023"/>
    <n v="919.39999999999986"/>
    <n v="896.49999999999989"/>
    <n v="2055"/>
    <n v="137"/>
  </r>
  <r>
    <s v="Grocery"/>
    <n v="15.05"/>
    <x v="137"/>
    <n v="2023"/>
    <n v="911.49999999999989"/>
    <n v="896.44999999999993"/>
    <n v="2070"/>
    <n v="138"/>
  </r>
  <r>
    <s v="None"/>
    <n v="0"/>
    <x v="138"/>
    <n v="2023"/>
    <n v="911.44999999999993"/>
    <n v="911.44999999999993"/>
    <n v="2085"/>
    <n v="139"/>
  </r>
  <r>
    <s v="Eat out"/>
    <n v="13.95"/>
    <x v="139"/>
    <n v="2023"/>
    <n v="926.44999999999993"/>
    <n v="912.49999999999989"/>
    <n v="2100"/>
    <n v="140"/>
  </r>
  <r>
    <s v="None"/>
    <n v="0"/>
    <x v="140"/>
    <n v="2023"/>
    <n v="927.49999999999989"/>
    <n v="927.49999999999989"/>
    <n v="2115"/>
    <n v="141"/>
  </r>
  <r>
    <s v="None"/>
    <n v="0"/>
    <x v="141"/>
    <n v="2023"/>
    <n v="942.49999999999989"/>
    <n v="942.49999999999989"/>
    <n v="2130"/>
    <n v="142"/>
  </r>
  <r>
    <s v="None"/>
    <n v="0"/>
    <x v="142"/>
    <n v="2023"/>
    <n v="957.49999999999989"/>
    <n v="957.49999999999989"/>
    <n v="2145"/>
    <n v="143"/>
  </r>
  <r>
    <s v="Eat out"/>
    <n v="2"/>
    <x v="143"/>
    <n v="2023"/>
    <n v="972.49999999999989"/>
    <n v="970.49999999999989"/>
    <n v="2160"/>
    <n v="144"/>
  </r>
  <r>
    <s v="Eat out"/>
    <n v="1"/>
    <x v="144"/>
    <n v="2023"/>
    <n v="985.49999999999989"/>
    <n v="984.49999999999989"/>
    <n v="2175"/>
    <n v="145"/>
  </r>
  <r>
    <s v="Grocery"/>
    <n v="12"/>
    <x v="144"/>
    <n v="2023"/>
    <n v="984.49999999999989"/>
    <n v="972.49999999999989"/>
    <n v="2175"/>
    <n v="145"/>
  </r>
  <r>
    <s v="Grocery"/>
    <n v="10"/>
    <x v="144"/>
    <n v="2023"/>
    <n v="972.49999999999989"/>
    <n v="962.49999999999989"/>
    <n v="2175"/>
    <n v="145"/>
  </r>
  <r>
    <s v="Grocery"/>
    <n v="12"/>
    <x v="145"/>
    <n v="2023"/>
    <n v="977.49999999999989"/>
    <n v="965.49999999999989"/>
    <n v="2190"/>
    <n v="146"/>
  </r>
  <r>
    <s v="Eat out"/>
    <n v="1.8"/>
    <x v="146"/>
    <n v="2023"/>
    <n v="980.49999999999989"/>
    <n v="978.69999999999993"/>
    <n v="2205"/>
    <n v="147"/>
  </r>
  <r>
    <s v="None"/>
    <n v="0"/>
    <x v="147"/>
    <n v="2023"/>
    <n v="993.69999999999993"/>
    <n v="993.69999999999993"/>
    <n v="2220"/>
    <n v="148"/>
  </r>
  <r>
    <s v="None"/>
    <n v="0"/>
    <x v="148"/>
    <n v="2023"/>
    <n v="1008.6999999999999"/>
    <n v="1008.6999999999999"/>
    <n v="2235"/>
    <n v="149"/>
  </r>
  <r>
    <s v="None"/>
    <n v="0"/>
    <x v="149"/>
    <n v="2023"/>
    <n v="1023.6999999999999"/>
    <n v="1023.6999999999999"/>
    <n v="2250"/>
    <n v="150"/>
  </r>
  <r>
    <s v="None"/>
    <n v="0"/>
    <x v="150"/>
    <n v="2023"/>
    <n v="1038.6999999999998"/>
    <n v="1038.6999999999998"/>
    <n v="2265"/>
    <n v="151"/>
  </r>
  <r>
    <s v="Eat out"/>
    <n v="1"/>
    <x v="151"/>
    <n v="2023"/>
    <n v="1053.6999999999998"/>
    <n v="1052.6999999999998"/>
    <n v="2280"/>
    <n v="152"/>
  </r>
  <r>
    <s v="Eat out"/>
    <n v="1"/>
    <x v="152"/>
    <n v="2023"/>
    <n v="1067.6999999999998"/>
    <n v="1066.6999999999998"/>
    <n v="2295"/>
    <n v="153"/>
  </r>
  <r>
    <s v="Eat out"/>
    <n v="3.37"/>
    <x v="153"/>
    <n v="2023"/>
    <n v="1081.6999999999998"/>
    <n v="1078.33"/>
    <n v="2310"/>
    <n v="154"/>
  </r>
  <r>
    <s v="Grocery"/>
    <n v="53.55"/>
    <x v="153"/>
    <n v="2023"/>
    <n v="1078.33"/>
    <n v="1024.78"/>
    <n v="2310"/>
    <n v="154"/>
  </r>
  <r>
    <s v="Eat out"/>
    <n v="15.06"/>
    <x v="154"/>
    <n v="2023"/>
    <n v="1039.78"/>
    <n v="1024.72"/>
    <n v="2325"/>
    <n v="155"/>
  </r>
  <r>
    <s v="None"/>
    <n v="0"/>
    <x v="155"/>
    <n v="2023"/>
    <n v="1039.72"/>
    <n v="1039.72"/>
    <n v="2340"/>
    <n v="156"/>
  </r>
  <r>
    <s v="None"/>
    <n v="0"/>
    <x v="156"/>
    <n v="2023"/>
    <n v="1054.72"/>
    <n v="1054.72"/>
    <n v="2355"/>
    <n v="157"/>
  </r>
  <r>
    <s v="Eat out"/>
    <n v="1.8"/>
    <x v="157"/>
    <n v="2023"/>
    <n v="1069.72"/>
    <n v="1067.92"/>
    <n v="2370"/>
    <n v="158"/>
  </r>
  <r>
    <s v="None"/>
    <n v="0"/>
    <x v="158"/>
    <n v="2023"/>
    <n v="1082.92"/>
    <n v="1082.92"/>
    <n v="2385"/>
    <n v="159"/>
  </r>
  <r>
    <s v="None"/>
    <n v="0"/>
    <x v="159"/>
    <n v="2023"/>
    <n v="1097.92"/>
    <n v="1097.92"/>
    <n v="2400"/>
    <n v="160"/>
  </r>
  <r>
    <s v="Eat out"/>
    <n v="8.5"/>
    <x v="160"/>
    <n v="2023"/>
    <n v="1112.92"/>
    <n v="1104.42"/>
    <n v="2415"/>
    <n v="161"/>
  </r>
  <r>
    <s v="Grocery"/>
    <n v="5.04"/>
    <x v="160"/>
    <n v="2023"/>
    <n v="1104.42"/>
    <n v="1099.3800000000001"/>
    <n v="2415"/>
    <n v="161"/>
  </r>
  <r>
    <s v="Grocery"/>
    <n v="48.3"/>
    <x v="160"/>
    <n v="2023"/>
    <n v="1099.3800000000001"/>
    <n v="1051.0800000000002"/>
    <n v="2415"/>
    <n v="161"/>
  </r>
  <r>
    <s v="Grocery"/>
    <n v="1.75"/>
    <x v="161"/>
    <n v="2023"/>
    <n v="1066.0800000000002"/>
    <n v="1064.3300000000002"/>
    <n v="2430"/>
    <n v="162"/>
  </r>
  <r>
    <s v="None"/>
    <n v="0"/>
    <x v="162"/>
    <n v="2023"/>
    <n v="1079.3300000000002"/>
    <n v="1079.3300000000002"/>
    <n v="2445"/>
    <n v="163"/>
  </r>
  <r>
    <s v="Eat out"/>
    <n v="1.8"/>
    <x v="163"/>
    <n v="2023"/>
    <n v="1094.3300000000002"/>
    <n v="1092.5300000000002"/>
    <n v="2460"/>
    <n v="164"/>
  </r>
  <r>
    <s v="Eat out"/>
    <n v="1"/>
    <x v="164"/>
    <n v="2023"/>
    <n v="1107.5300000000002"/>
    <n v="1106.5300000000002"/>
    <n v="2475"/>
    <n v="165"/>
  </r>
  <r>
    <s v="Eat out"/>
    <n v="2.8"/>
    <x v="165"/>
    <n v="2023"/>
    <n v="1121.5300000000002"/>
    <n v="1118.7300000000002"/>
    <n v="2490"/>
    <n v="166"/>
  </r>
  <r>
    <s v="Grocery"/>
    <n v="99"/>
    <x v="166"/>
    <n v="2023"/>
    <n v="1133.7300000000002"/>
    <n v="1034.7300000000002"/>
    <n v="2505"/>
    <n v="167"/>
  </r>
  <r>
    <s v="None"/>
    <n v="0"/>
    <x v="167"/>
    <n v="2023"/>
    <n v="1049.7300000000002"/>
    <n v="1049.7300000000002"/>
    <n v="2520"/>
    <n v="168"/>
  </r>
  <r>
    <s v="Eat out"/>
    <n v="1.1499999999999999"/>
    <x v="168"/>
    <n v="2023"/>
    <n v="1064.7300000000002"/>
    <n v="1063.5800000000002"/>
    <n v="2535"/>
    <n v="169"/>
  </r>
  <r>
    <s v="Eat out"/>
    <n v="4"/>
    <x v="169"/>
    <n v="2023"/>
    <n v="1078.5800000000002"/>
    <n v="1074.5800000000002"/>
    <n v="2550"/>
    <n v="170"/>
  </r>
  <r>
    <s v="Eat out"/>
    <n v="2.83"/>
    <x v="170"/>
    <n v="2023"/>
    <n v="1089.5800000000002"/>
    <n v="1086.7500000000002"/>
    <n v="2565"/>
    <n v="171"/>
  </r>
  <r>
    <s v="Eat out"/>
    <n v="16"/>
    <x v="171"/>
    <n v="2023"/>
    <n v="1101.7500000000002"/>
    <n v="1085.7500000000002"/>
    <n v="2580"/>
    <n v="172"/>
  </r>
  <r>
    <s v="Eat out"/>
    <n v="1.1499999999999999"/>
    <x v="172"/>
    <n v="2023"/>
    <n v="1100.7500000000002"/>
    <n v="1099.6000000000001"/>
    <n v="2595"/>
    <n v="173"/>
  </r>
  <r>
    <s v="Eat out"/>
    <n v="2.5"/>
    <x v="173"/>
    <n v="2023"/>
    <n v="1114.6000000000001"/>
    <n v="1112.1000000000001"/>
    <n v="2610"/>
    <n v="174"/>
  </r>
  <r>
    <s v="Eat out"/>
    <n v="9.6300000000000008"/>
    <x v="173"/>
    <n v="2023"/>
    <n v="1112.1000000000001"/>
    <n v="1102.47"/>
    <n v="2610"/>
    <n v="174"/>
  </r>
  <r>
    <s v="Grocery"/>
    <n v="2.15"/>
    <x v="174"/>
    <n v="2023"/>
    <n v="1117.47"/>
    <n v="1115.32"/>
    <n v="2625"/>
    <n v="175"/>
  </r>
  <r>
    <s v="Eat out"/>
    <n v="6"/>
    <x v="175"/>
    <n v="2023"/>
    <n v="1130.32"/>
    <n v="1124.32"/>
    <n v="2640"/>
    <n v="176"/>
  </r>
  <r>
    <s v="Eat out"/>
    <n v="2"/>
    <x v="176"/>
    <n v="2023"/>
    <n v="1139.32"/>
    <n v="1137.32"/>
    <n v="2655"/>
    <n v="177"/>
  </r>
  <r>
    <s v="Eat out"/>
    <n v="16"/>
    <x v="177"/>
    <n v="2023"/>
    <n v="1152.32"/>
    <n v="1136.32"/>
    <n v="2670"/>
    <n v="178"/>
  </r>
  <r>
    <s v="Grocery"/>
    <n v="66.86"/>
    <x v="178"/>
    <n v="2023"/>
    <n v="1151.32"/>
    <n v="1084.46"/>
    <n v="2685"/>
    <n v="179"/>
  </r>
  <r>
    <s v="Grocery"/>
    <n v="20.350000000000001"/>
    <x v="179"/>
    <n v="2023"/>
    <n v="1099.46"/>
    <n v="1079.1100000000001"/>
    <n v="2700"/>
    <n v="180"/>
  </r>
  <r>
    <s v="Eat out"/>
    <n v="3.1"/>
    <x v="180"/>
    <n v="2023"/>
    <n v="1094.1100000000001"/>
    <n v="1091.0100000000002"/>
    <n v="2715"/>
    <n v="181"/>
  </r>
  <r>
    <s v="Eat out"/>
    <n v="1.8"/>
    <x v="181"/>
    <n v="2023"/>
    <n v="1106.0100000000002"/>
    <n v="1104.2100000000003"/>
    <n v="2730"/>
    <n v="182"/>
  </r>
  <r>
    <s v="Eat out"/>
    <n v="12"/>
    <x v="182"/>
    <n v="2023"/>
    <n v="1119.2100000000003"/>
    <n v="1107.2100000000003"/>
    <n v="2745"/>
    <n v="183"/>
  </r>
  <r>
    <s v="Eat out"/>
    <n v="16"/>
    <x v="183"/>
    <n v="2023"/>
    <n v="1122.2100000000003"/>
    <n v="1106.2100000000003"/>
    <n v="2760"/>
    <n v="184"/>
  </r>
  <r>
    <s v="Eat out"/>
    <n v="1.8"/>
    <x v="184"/>
    <n v="2023"/>
    <n v="1121.2100000000003"/>
    <n v="1119.4100000000003"/>
    <n v="2775"/>
    <n v="185"/>
  </r>
  <r>
    <s v="Eat out"/>
    <n v="1.8"/>
    <x v="185"/>
    <n v="2023"/>
    <n v="1134.4100000000003"/>
    <n v="1132.6100000000004"/>
    <n v="2790"/>
    <n v="186"/>
  </r>
  <r>
    <s v="None"/>
    <n v="0"/>
    <x v="186"/>
    <n v="2023"/>
    <n v="1147.6100000000004"/>
    <n v="1147.6100000000004"/>
    <n v="2805"/>
    <n v="187"/>
  </r>
  <r>
    <s v="Eat out"/>
    <n v="19"/>
    <x v="187"/>
    <n v="2023"/>
    <n v="1162.6100000000004"/>
    <n v="1143.6100000000004"/>
    <n v="2820"/>
    <n v="188"/>
  </r>
  <r>
    <s v="Eat out"/>
    <n v="1.8"/>
    <x v="188"/>
    <n v="2023"/>
    <n v="1158.6100000000004"/>
    <n v="1156.8100000000004"/>
    <n v="2835"/>
    <n v="189"/>
  </r>
  <r>
    <s v="Grocery"/>
    <n v="52.36"/>
    <x v="188"/>
    <n v="2023"/>
    <n v="1156.8100000000004"/>
    <n v="1104.4500000000005"/>
    <n v="2835"/>
    <n v="189"/>
  </r>
  <r>
    <s v="Eat out"/>
    <n v="2.8"/>
    <x v="189"/>
    <n v="2023"/>
    <n v="1119.4500000000005"/>
    <n v="1116.6500000000005"/>
    <n v="2850"/>
    <n v="190"/>
  </r>
  <r>
    <s v="None"/>
    <n v="0"/>
    <x v="190"/>
    <n v="2023"/>
    <n v="1131.6500000000005"/>
    <n v="1131.6500000000005"/>
    <n v="2865"/>
    <n v="191"/>
  </r>
  <r>
    <s v="Eat out"/>
    <n v="2"/>
    <x v="191"/>
    <n v="2023"/>
    <n v="1146.6500000000005"/>
    <n v="1144.6500000000005"/>
    <n v="2880"/>
    <n v="192"/>
  </r>
  <r>
    <s v="Eat out"/>
    <n v="24.5"/>
    <x v="192"/>
    <n v="2023"/>
    <n v="1159.6500000000005"/>
    <n v="1135.1500000000005"/>
    <n v="2895"/>
    <n v="193"/>
  </r>
  <r>
    <s v="Grocery"/>
    <n v="37.9"/>
    <x v="193"/>
    <n v="2023"/>
    <n v="1150.1500000000005"/>
    <n v="1112.2500000000005"/>
    <n v="2910"/>
    <n v="194"/>
  </r>
  <r>
    <s v="None"/>
    <n v="0"/>
    <x v="194"/>
    <n v="2023"/>
    <n v="1127.2500000000005"/>
    <n v="1127.2500000000005"/>
    <n v="2925"/>
    <n v="195"/>
  </r>
  <r>
    <s v="Eat out"/>
    <n v="13.2"/>
    <x v="195"/>
    <n v="2023"/>
    <n v="1142.2500000000005"/>
    <n v="1129.0500000000004"/>
    <n v="2940"/>
    <n v="196"/>
  </r>
  <r>
    <s v="None"/>
    <n v="0"/>
    <x v="196"/>
    <n v="2023"/>
    <n v="1144.0500000000004"/>
    <n v="1144.0500000000004"/>
    <n v="2955"/>
    <n v="197"/>
  </r>
  <r>
    <s v="Eat out"/>
    <n v="27"/>
    <x v="197"/>
    <n v="2023"/>
    <n v="1159.0500000000004"/>
    <n v="1132.0500000000004"/>
    <n v="2970"/>
    <n v="198"/>
  </r>
  <r>
    <s v="Grocery"/>
    <n v="42"/>
    <x v="198"/>
    <n v="2023"/>
    <n v="1147.0500000000004"/>
    <n v="1105.0500000000004"/>
    <n v="2985"/>
    <n v="199"/>
  </r>
  <r>
    <s v="Eat out"/>
    <n v="3.15"/>
    <x v="199"/>
    <n v="2023"/>
    <n v="1120.0500000000004"/>
    <n v="1116.9000000000003"/>
    <n v="3000"/>
    <n v="200"/>
  </r>
  <r>
    <s v="Eat out"/>
    <n v="17.5"/>
    <x v="200"/>
    <n v="2023"/>
    <n v="1131.9000000000003"/>
    <n v="1114.4000000000003"/>
    <n v="3015"/>
    <n v="201"/>
  </r>
  <r>
    <s v="Eat out"/>
    <n v="2.15"/>
    <x v="201"/>
    <n v="2023"/>
    <n v="1129.4000000000003"/>
    <n v="1127.2500000000002"/>
    <n v="3030"/>
    <n v="202"/>
  </r>
  <r>
    <s v="Grocery"/>
    <n v="50.2"/>
    <x v="201"/>
    <n v="2023"/>
    <n v="1127.2500000000002"/>
    <n v="1077.0500000000002"/>
    <n v="3030"/>
    <n v="202"/>
  </r>
  <r>
    <s v="Eat out"/>
    <n v="5.07"/>
    <x v="202"/>
    <n v="2023"/>
    <n v="1092.0500000000002"/>
    <n v="1086.9800000000002"/>
    <n v="3045"/>
    <n v="203"/>
  </r>
  <r>
    <s v="None"/>
    <n v="0"/>
    <x v="203"/>
    <n v="2023"/>
    <n v="1101.9800000000002"/>
    <n v="1101.9800000000002"/>
    <n v="3060"/>
    <n v="204"/>
  </r>
  <r>
    <s v="Eat out"/>
    <n v="15.12"/>
    <x v="204"/>
    <n v="2023"/>
    <n v="1116.9800000000002"/>
    <n v="1101.8600000000004"/>
    <n v="3075"/>
    <n v="205"/>
  </r>
  <r>
    <s v="Eat out"/>
    <n v="4.5999999999999996"/>
    <x v="205"/>
    <n v="2023"/>
    <n v="1116.8600000000004"/>
    <n v="1112.2600000000004"/>
    <n v="3090"/>
    <n v="206"/>
  </r>
  <r>
    <s v="Eat out"/>
    <n v="9"/>
    <x v="206"/>
    <n v="2023"/>
    <n v="1127.2600000000004"/>
    <n v="1118.2600000000004"/>
    <n v="3105"/>
    <n v="207"/>
  </r>
  <r>
    <s v="None"/>
    <n v="0"/>
    <x v="207"/>
    <n v="2023"/>
    <n v="1133.2600000000004"/>
    <n v="1133.2600000000004"/>
    <n v="3120"/>
    <n v="208"/>
  </r>
  <r>
    <s v="None"/>
    <n v="0"/>
    <x v="208"/>
    <n v="2023"/>
    <n v="1148.2600000000004"/>
    <n v="1148.2600000000004"/>
    <n v="3135"/>
    <n v="209"/>
  </r>
  <r>
    <s v="Eat out"/>
    <n v="9"/>
    <x v="209"/>
    <n v="2023"/>
    <n v="1163.2600000000004"/>
    <n v="1154.2600000000004"/>
    <n v="3150"/>
    <n v="210"/>
  </r>
  <r>
    <s v="None"/>
    <n v="0"/>
    <x v="210"/>
    <n v="2023"/>
    <n v="1169.2600000000004"/>
    <n v="1169.2600000000004"/>
    <n v="3165"/>
    <n v="211"/>
  </r>
  <r>
    <s v="Eat out"/>
    <n v="21.6"/>
    <x v="211"/>
    <n v="2023"/>
    <n v="1184.2600000000004"/>
    <n v="1162.6600000000005"/>
    <n v="3180"/>
    <n v="212"/>
  </r>
  <r>
    <s v="Grocery"/>
    <n v="57.1"/>
    <x v="212"/>
    <n v="2023"/>
    <n v="1177.6600000000005"/>
    <n v="1120.5600000000006"/>
    <n v="3195"/>
    <n v="213"/>
  </r>
  <r>
    <s v="Eat out"/>
    <n v="2.15"/>
    <x v="213"/>
    <n v="2023"/>
    <n v="1135.5600000000006"/>
    <n v="1133.4100000000005"/>
    <n v="3210"/>
    <n v="214"/>
  </r>
  <r>
    <s v="Grocery"/>
    <n v="31.2"/>
    <x v="213"/>
    <n v="2023"/>
    <n v="1133.4100000000005"/>
    <n v="1102.2100000000005"/>
    <n v="3210"/>
    <n v="214"/>
  </r>
  <r>
    <s v="Eat out"/>
    <n v="4.5"/>
    <x v="214"/>
    <n v="2023"/>
    <n v="1117.2100000000005"/>
    <n v="1112.7100000000005"/>
    <n v="3225"/>
    <n v="215"/>
  </r>
  <r>
    <s v="Eat out"/>
    <n v="15.35"/>
    <x v="214"/>
    <n v="2023"/>
    <n v="1112.7100000000005"/>
    <n v="1097.3600000000006"/>
    <n v="3225"/>
    <n v="215"/>
  </r>
  <r>
    <s v="Eat out"/>
    <n v="3"/>
    <x v="215"/>
    <n v="2023"/>
    <n v="1112.3600000000006"/>
    <n v="1109.3600000000006"/>
    <n v="3240"/>
    <n v="216"/>
  </r>
  <r>
    <s v="None"/>
    <n v="0"/>
    <x v="216"/>
    <n v="2023"/>
    <n v="1124.3600000000006"/>
    <n v="1124.3600000000006"/>
    <n v="3255"/>
    <n v="217"/>
  </r>
  <r>
    <s v="Eat out"/>
    <n v="2.15"/>
    <x v="217"/>
    <n v="2023"/>
    <n v="1139.3600000000006"/>
    <n v="1137.2100000000005"/>
    <n v="3270"/>
    <n v="218"/>
  </r>
  <r>
    <s v="Eat out"/>
    <n v="5.5"/>
    <x v="217"/>
    <n v="2023"/>
    <n v="1137.2100000000005"/>
    <n v="1131.7100000000005"/>
    <n v="3270"/>
    <n v="218"/>
  </r>
  <r>
    <s v="Eat out"/>
    <n v="33.799999999999997"/>
    <x v="218"/>
    <n v="2023"/>
    <n v="1146.7100000000005"/>
    <n v="1112.9100000000005"/>
    <n v="3285"/>
    <n v="219"/>
  </r>
  <r>
    <s v="Grocery"/>
    <n v="4.3499999999999996"/>
    <x v="219"/>
    <n v="2023"/>
    <n v="1127.9100000000005"/>
    <n v="1123.5600000000006"/>
    <n v="3300"/>
    <n v="220"/>
  </r>
  <r>
    <s v="None"/>
    <n v="0"/>
    <x v="220"/>
    <n v="2023"/>
    <n v="1138.5600000000006"/>
    <n v="1138.5600000000006"/>
    <n v="3315"/>
    <n v="221"/>
  </r>
  <r>
    <s v="Eat out"/>
    <n v="4.8"/>
    <x v="221"/>
    <n v="2023"/>
    <n v="1153.5600000000006"/>
    <n v="1148.7600000000007"/>
    <n v="3330"/>
    <n v="222"/>
  </r>
  <r>
    <s v="Grocery"/>
    <n v="61"/>
    <x v="222"/>
    <n v="2023"/>
    <n v="1163.7600000000007"/>
    <n v="1102.7600000000007"/>
    <n v="3345"/>
    <n v="223"/>
  </r>
  <r>
    <s v="Eat out"/>
    <n v="8.5"/>
    <x v="223"/>
    <n v="2023"/>
    <n v="1117.7600000000007"/>
    <n v="1109.2600000000007"/>
    <n v="3360"/>
    <n v="224"/>
  </r>
  <r>
    <s v="Eat out"/>
    <n v="5.07"/>
    <x v="224"/>
    <n v="2023"/>
    <n v="1124.2600000000007"/>
    <n v="1119.1900000000007"/>
    <n v="3375"/>
    <n v="225"/>
  </r>
  <r>
    <s v="None"/>
    <n v="0"/>
    <x v="225"/>
    <n v="2023"/>
    <n v="1134.1900000000007"/>
    <n v="1134.1900000000007"/>
    <n v="3390"/>
    <n v="226"/>
  </r>
  <r>
    <s v="Eat out"/>
    <n v="5.07"/>
    <x v="226"/>
    <n v="2023"/>
    <n v="1149.1900000000007"/>
    <n v="1144.1200000000008"/>
    <n v="3405"/>
    <n v="227"/>
  </r>
  <r>
    <s v="None"/>
    <n v="0"/>
    <x v="227"/>
    <n v="2023"/>
    <n v="1159.1200000000008"/>
    <n v="1159.1200000000008"/>
    <n v="3420"/>
    <n v="228"/>
  </r>
  <r>
    <s v="Eat out"/>
    <n v="1.5"/>
    <x v="228"/>
    <n v="2023"/>
    <n v="1174.1200000000008"/>
    <n v="1172.6200000000008"/>
    <n v="3435"/>
    <n v="229"/>
  </r>
  <r>
    <s v="Eat out"/>
    <n v="5.07"/>
    <x v="228"/>
    <n v="2023"/>
    <n v="1172.6200000000008"/>
    <n v="1167.5500000000009"/>
    <n v="3435"/>
    <n v="229"/>
  </r>
  <r>
    <s v="Eat out"/>
    <n v="14"/>
    <x v="229"/>
    <n v="2023"/>
    <n v="1182.5500000000009"/>
    <n v="1168.5500000000009"/>
    <n v="3450"/>
    <n v="230"/>
  </r>
  <r>
    <s v="Eat out"/>
    <n v="4"/>
    <x v="230"/>
    <n v="2023"/>
    <n v="1183.5500000000009"/>
    <n v="1179.5500000000009"/>
    <n v="3465"/>
    <n v="231"/>
  </r>
  <r>
    <s v="Grocery"/>
    <n v="49.2"/>
    <x v="230"/>
    <n v="2023"/>
    <n v="1179.5500000000009"/>
    <n v="1130.3500000000008"/>
    <n v="3465"/>
    <n v="231"/>
  </r>
  <r>
    <s v="None"/>
    <n v="0"/>
    <x v="231"/>
    <n v="2023"/>
    <n v="1145.3500000000008"/>
    <n v="1145.3500000000008"/>
    <n v="3480"/>
    <n v="232"/>
  </r>
  <r>
    <s v="Eat out"/>
    <n v="23.5"/>
    <x v="232"/>
    <n v="2023"/>
    <n v="1160.3500000000008"/>
    <n v="1136.8500000000008"/>
    <n v="3495"/>
    <n v="233"/>
  </r>
  <r>
    <s v="None"/>
    <n v="0"/>
    <x v="233"/>
    <n v="2023"/>
    <n v="1151.8500000000008"/>
    <n v="1151.8500000000008"/>
    <n v="3510"/>
    <n v="234"/>
  </r>
  <r>
    <s v="Eat out"/>
    <n v="45.5"/>
    <x v="234"/>
    <n v="2023"/>
    <n v="1166.8500000000008"/>
    <n v="1121.3500000000008"/>
    <n v="3525"/>
    <n v="235"/>
  </r>
  <r>
    <s v="Eat out"/>
    <n v="4"/>
    <x v="235"/>
    <n v="2023"/>
    <n v="1136.3500000000008"/>
    <n v="1132.3500000000008"/>
    <n v="3540"/>
    <n v="236"/>
  </r>
  <r>
    <s v="Eat out"/>
    <n v="7.2"/>
    <x v="236"/>
    <n v="2023"/>
    <n v="1147.3500000000008"/>
    <n v="1140.1500000000008"/>
    <n v="3555"/>
    <n v="237"/>
  </r>
  <r>
    <s v="Grocery"/>
    <n v="40"/>
    <x v="237"/>
    <n v="2023"/>
    <n v="1155.1500000000008"/>
    <n v="1115.1500000000008"/>
    <n v="3570"/>
    <n v="238"/>
  </r>
  <r>
    <s v="Eat out"/>
    <n v="5"/>
    <x v="238"/>
    <n v="2023"/>
    <n v="1130.1500000000008"/>
    <n v="1125.1500000000008"/>
    <n v="3585"/>
    <n v="239"/>
  </r>
  <r>
    <s v="None"/>
    <n v="0"/>
    <x v="239"/>
    <n v="2023"/>
    <n v="1140.1500000000008"/>
    <n v="1140.1500000000008"/>
    <n v="3600"/>
    <n v="240"/>
  </r>
  <r>
    <s v="Eat out"/>
    <n v="70"/>
    <x v="240"/>
    <n v="2023"/>
    <n v="1155.1500000000008"/>
    <n v="1085.1500000000008"/>
    <n v="3615"/>
    <n v="241"/>
  </r>
  <r>
    <s v="Eat out"/>
    <n v="16"/>
    <x v="241"/>
    <n v="2023"/>
    <n v="1100.1500000000008"/>
    <n v="1084.1500000000008"/>
    <n v="3630"/>
    <n v="242"/>
  </r>
  <r>
    <s v="Eat out"/>
    <n v="27.5"/>
    <x v="242"/>
    <n v="2023"/>
    <n v="1099.1500000000008"/>
    <n v="1071.6500000000008"/>
    <n v="3645"/>
    <n v="243"/>
  </r>
  <r>
    <s v="Eat out"/>
    <n v="24.8"/>
    <x v="243"/>
    <n v="2023"/>
    <n v="1086.6500000000008"/>
    <n v="1061.8500000000008"/>
    <n v="3660"/>
    <n v="244"/>
  </r>
  <r>
    <s v="None"/>
    <n v="0"/>
    <x v="244"/>
    <n v="2023"/>
    <n v="1076.8500000000008"/>
    <n v="1076.8500000000008"/>
    <n v="3675"/>
    <n v="245"/>
  </r>
  <r>
    <s v="Eat out"/>
    <n v="6"/>
    <x v="245"/>
    <n v="2023"/>
    <n v="1091.8500000000008"/>
    <n v="1085.8500000000008"/>
    <n v="3690"/>
    <n v="246"/>
  </r>
  <r>
    <s v="Eat out"/>
    <n v="3.2"/>
    <x v="246"/>
    <n v="2023"/>
    <n v="1100.8500000000008"/>
    <n v="1097.6500000000008"/>
    <n v="3705"/>
    <n v="247"/>
  </r>
  <r>
    <s v="Eat out"/>
    <n v="1.5"/>
    <x v="247"/>
    <n v="2023"/>
    <n v="1112.6500000000008"/>
    <n v="1111.1500000000008"/>
    <n v="3720"/>
    <n v="248"/>
  </r>
  <r>
    <s v="Grocery"/>
    <n v="85.9"/>
    <x v="248"/>
    <n v="2023"/>
    <n v="1126.1500000000008"/>
    <n v="1040.2500000000007"/>
    <n v="3735"/>
    <n v="249"/>
  </r>
  <r>
    <s v="Eat out"/>
    <n v="8"/>
    <x v="249"/>
    <n v="2023"/>
    <n v="1055.2500000000007"/>
    <n v="1047.2500000000007"/>
    <n v="3750"/>
    <n v="250"/>
  </r>
  <r>
    <s v="None"/>
    <n v="0"/>
    <x v="250"/>
    <n v="2023"/>
    <n v="1062.2500000000007"/>
    <n v="1062.2500000000007"/>
    <n v="3765"/>
    <n v="251"/>
  </r>
  <r>
    <s v="Eat out"/>
    <n v="4.45"/>
    <x v="251"/>
    <n v="2023"/>
    <n v="1077.2500000000007"/>
    <n v="1072.8000000000006"/>
    <n v="3780"/>
    <n v="252"/>
  </r>
  <r>
    <s v="None"/>
    <n v="0"/>
    <x v="252"/>
    <n v="2023"/>
    <n v="1087.8000000000006"/>
    <n v="1087.8000000000006"/>
    <n v="3795"/>
    <n v="253"/>
  </r>
  <r>
    <s v="Eat out"/>
    <n v="2.65"/>
    <x v="253"/>
    <n v="2023"/>
    <n v="1102.8000000000006"/>
    <n v="1100.1500000000005"/>
    <n v="3810"/>
    <n v="254"/>
  </r>
  <r>
    <s v="None"/>
    <n v="0"/>
    <x v="254"/>
    <n v="2023"/>
    <n v="1115.1500000000005"/>
    <n v="1115.1500000000005"/>
    <n v="3825"/>
    <n v="255"/>
  </r>
  <r>
    <s v="None"/>
    <n v="0"/>
    <x v="255"/>
    <n v="2023"/>
    <n v="1130.1500000000005"/>
    <n v="1130.1500000000005"/>
    <n v="3840"/>
    <n v="256"/>
  </r>
  <r>
    <s v="Eat out"/>
    <n v="6"/>
    <x v="256"/>
    <n v="2023"/>
    <n v="1145.1500000000005"/>
    <n v="1139.1500000000005"/>
    <n v="3855"/>
    <n v="257"/>
  </r>
  <r>
    <s v="Eat out"/>
    <n v="46"/>
    <x v="257"/>
    <n v="2023"/>
    <n v="1154.1500000000005"/>
    <n v="1108.1500000000005"/>
    <n v="3870"/>
    <n v="258"/>
  </r>
  <r>
    <s v="Eat out"/>
    <n v="28"/>
    <x v="258"/>
    <n v="2023"/>
    <n v="1123.1500000000005"/>
    <n v="1095.1500000000005"/>
    <n v="3885"/>
    <n v="259"/>
  </r>
  <r>
    <s v="Grocery"/>
    <n v="62"/>
    <x v="259"/>
    <n v="2023"/>
    <n v="1110.1500000000005"/>
    <n v="1048.1500000000005"/>
    <n v="3900"/>
    <n v="260"/>
  </r>
  <r>
    <s v="Eat out"/>
    <n v="4.5"/>
    <x v="259"/>
    <n v="2023"/>
    <n v="1048.1500000000005"/>
    <n v="1043.6500000000005"/>
    <n v="3900"/>
    <n v="260"/>
  </r>
  <r>
    <s v="None"/>
    <n v="0"/>
    <x v="260"/>
    <n v="2023"/>
    <n v="1058.6500000000005"/>
    <n v="1058.6500000000005"/>
    <n v="3915"/>
    <n v="261"/>
  </r>
  <r>
    <s v="Eat out"/>
    <n v="15"/>
    <x v="261"/>
    <n v="2023"/>
    <n v="1073.6500000000005"/>
    <n v="1058.6500000000005"/>
    <n v="3930"/>
    <n v="262"/>
  </r>
  <r>
    <s v="None"/>
    <n v="0"/>
    <x v="262"/>
    <n v="2023"/>
    <n v="1073.6500000000005"/>
    <n v="1073.6500000000005"/>
    <n v="3945"/>
    <n v="263"/>
  </r>
  <r>
    <s v="Eat out"/>
    <n v="2.2000000000000002"/>
    <x v="263"/>
    <n v="2023"/>
    <n v="1088.6500000000005"/>
    <n v="1086.4500000000005"/>
    <n v="3960"/>
    <n v="264"/>
  </r>
  <r>
    <s v="Eat out"/>
    <n v="30.8"/>
    <x v="264"/>
    <n v="2023"/>
    <n v="1101.4500000000005"/>
    <n v="1070.6500000000005"/>
    <n v="3975"/>
    <n v="265"/>
  </r>
  <r>
    <s v="Eat out"/>
    <n v="15"/>
    <x v="265"/>
    <n v="2023"/>
    <n v="1085.6500000000005"/>
    <n v="1070.6500000000005"/>
    <n v="3990"/>
    <n v="266"/>
  </r>
  <r>
    <s v="Eat out"/>
    <n v="25.5"/>
    <x v="266"/>
    <n v="2023"/>
    <n v="1085.6500000000005"/>
    <n v="1060.1500000000005"/>
    <n v="4005"/>
    <n v="267"/>
  </r>
  <r>
    <s v="None"/>
    <n v="0"/>
    <x v="267"/>
    <n v="2023"/>
    <n v="1075.1500000000005"/>
    <n v="1075.1500000000005"/>
    <n v="4020"/>
    <n v="268"/>
  </r>
  <r>
    <s v="Eat out"/>
    <n v="35"/>
    <x v="268"/>
    <n v="2023"/>
    <n v="1090.1500000000005"/>
    <n v="1055.1500000000005"/>
    <n v="4035"/>
    <n v="269"/>
  </r>
  <r>
    <s v="None"/>
    <n v="0"/>
    <x v="269"/>
    <n v="2023"/>
    <n v="1070.1500000000005"/>
    <n v="1070.1500000000005"/>
    <n v="4050"/>
    <n v="270"/>
  </r>
  <r>
    <s v="None"/>
    <n v="0"/>
    <x v="270"/>
    <n v="2023"/>
    <n v="1085.1500000000005"/>
    <n v="1085.1500000000005"/>
    <n v="4065"/>
    <n v="271"/>
  </r>
  <r>
    <s v="None"/>
    <n v="0"/>
    <x v="271"/>
    <n v="2023"/>
    <n v="1100.1500000000005"/>
    <n v="1100.1500000000005"/>
    <n v="4080"/>
    <n v="272"/>
  </r>
  <r>
    <s v="None"/>
    <n v="0"/>
    <x v="272"/>
    <n v="2023"/>
    <n v="1115.1500000000005"/>
    <n v="1115.1500000000005"/>
    <n v="4095"/>
    <n v="273"/>
  </r>
  <r>
    <s v="None"/>
    <n v="0"/>
    <x v="273"/>
    <n v="2023"/>
    <n v="1130.1500000000005"/>
    <n v="1130.1500000000005"/>
    <n v="4110"/>
    <n v="274"/>
  </r>
  <r>
    <s v="None"/>
    <n v="0"/>
    <x v="274"/>
    <n v="2023"/>
    <n v="1145.1500000000005"/>
    <n v="1145.1500000000005"/>
    <n v="4125"/>
    <n v="275"/>
  </r>
  <r>
    <s v="None"/>
    <n v="0"/>
    <x v="275"/>
    <n v="2023"/>
    <n v="1160.1500000000005"/>
    <n v="1160.1500000000005"/>
    <n v="4140"/>
    <n v="276"/>
  </r>
  <r>
    <s v="None"/>
    <n v="0"/>
    <x v="276"/>
    <n v="2023"/>
    <n v="1175.1500000000005"/>
    <n v="1175.1500000000005"/>
    <n v="4155"/>
    <n v="277"/>
  </r>
  <r>
    <s v="None"/>
    <n v="0"/>
    <x v="277"/>
    <n v="2023"/>
    <n v="1190.1500000000005"/>
    <n v="1190.1500000000005"/>
    <n v="4170"/>
    <n v="278"/>
  </r>
  <r>
    <s v="None"/>
    <n v="0"/>
    <x v="278"/>
    <n v="2023"/>
    <n v="1205.1500000000005"/>
    <n v="1205.1500000000005"/>
    <n v="4185"/>
    <n v="279"/>
  </r>
  <r>
    <s v="None"/>
    <n v="0"/>
    <x v="279"/>
    <n v="2023"/>
    <n v="1220.1500000000005"/>
    <n v="1220.1500000000005"/>
    <n v="4200"/>
    <n v="280"/>
  </r>
  <r>
    <s v="None"/>
    <n v="0"/>
    <x v="280"/>
    <n v="2023"/>
    <n v="1235.1500000000005"/>
    <n v="1235.1500000000005"/>
    <n v="4215"/>
    <n v="281"/>
  </r>
  <r>
    <s v="None"/>
    <n v="0"/>
    <x v="281"/>
    <n v="2023"/>
    <n v="1250.1500000000005"/>
    <n v="1250.1500000000005"/>
    <n v="4230"/>
    <n v="282"/>
  </r>
  <r>
    <s v="None"/>
    <n v="0"/>
    <x v="282"/>
    <n v="2023"/>
    <n v="1265.1500000000005"/>
    <n v="1265.1500000000005"/>
    <n v="4245"/>
    <n v="283"/>
  </r>
  <r>
    <s v="None"/>
    <n v="0"/>
    <x v="283"/>
    <n v="2023"/>
    <n v="1280.1500000000005"/>
    <n v="1280.1500000000005"/>
    <n v="4260"/>
    <n v="284"/>
  </r>
  <r>
    <s v="None"/>
    <n v="0"/>
    <x v="284"/>
    <n v="2023"/>
    <n v="1295.1500000000005"/>
    <n v="1295.1500000000005"/>
    <n v="4275"/>
    <n v="285"/>
  </r>
  <r>
    <s v="None"/>
    <n v="0"/>
    <x v="285"/>
    <n v="2023"/>
    <n v="1310.1500000000005"/>
    <n v="1310.1500000000005"/>
    <n v="4290"/>
    <n v="286"/>
  </r>
  <r>
    <s v="None"/>
    <n v="0"/>
    <x v="286"/>
    <n v="2023"/>
    <n v="1325.1500000000005"/>
    <n v="1325.1500000000005"/>
    <n v="4305"/>
    <n v="287"/>
  </r>
  <r>
    <s v="None"/>
    <n v="0"/>
    <x v="287"/>
    <n v="2023"/>
    <n v="1340.1500000000005"/>
    <n v="1340.1500000000005"/>
    <n v="4320"/>
    <n v="288"/>
  </r>
  <r>
    <s v="None"/>
    <n v="0"/>
    <x v="288"/>
    <n v="2023"/>
    <n v="1355.1500000000005"/>
    <n v="1355.1500000000005"/>
    <n v="4335"/>
    <n v="289"/>
  </r>
  <r>
    <s v="None"/>
    <n v="0"/>
    <x v="289"/>
    <n v="2023"/>
    <n v="1370.1500000000005"/>
    <n v="1370.1500000000005"/>
    <n v="4350"/>
    <n v="290"/>
  </r>
  <r>
    <s v="None"/>
    <n v="0"/>
    <x v="290"/>
    <n v="2023"/>
    <n v="1385.1500000000005"/>
    <n v="1385.1500000000005"/>
    <n v="4365"/>
    <n v="291"/>
  </r>
  <r>
    <s v="None"/>
    <n v="0"/>
    <x v="291"/>
    <n v="2023"/>
    <n v="1400.1500000000005"/>
    <n v="1400.1500000000005"/>
    <n v="4380"/>
    <n v="292"/>
  </r>
  <r>
    <s v="Eat out"/>
    <n v="23"/>
    <x v="292"/>
    <n v="2023"/>
    <n v="1415.1500000000005"/>
    <n v="1392.1500000000005"/>
    <n v="4395"/>
    <n v="293"/>
  </r>
  <r>
    <s v="Eat out"/>
    <n v="28"/>
    <x v="293"/>
    <n v="2023"/>
    <n v="1407.1500000000005"/>
    <n v="1379.1500000000005"/>
    <n v="4410"/>
    <n v="294"/>
  </r>
  <r>
    <s v="Eat out"/>
    <n v="4.45"/>
    <x v="294"/>
    <n v="2023"/>
    <n v="1394.1500000000005"/>
    <n v="1389.7000000000005"/>
    <n v="4425"/>
    <n v="295"/>
  </r>
  <r>
    <s v="Eat out"/>
    <n v="5.63"/>
    <x v="295"/>
    <n v="2023"/>
    <n v="1404.7000000000005"/>
    <n v="1399.0700000000004"/>
    <n v="4440"/>
    <n v="296"/>
  </r>
  <r>
    <s v="Eat out"/>
    <n v="0"/>
    <x v="296"/>
    <n v="2023"/>
    <n v="1414.0700000000004"/>
    <n v="1414.0700000000004"/>
    <n v="4455"/>
    <n v="297"/>
  </r>
  <r>
    <s v="Eat out"/>
    <n v="12"/>
    <x v="297"/>
    <n v="2023"/>
    <n v="1429.0700000000004"/>
    <n v="1417.0700000000004"/>
    <n v="4470"/>
    <n v="298"/>
  </r>
  <r>
    <s v="Eat out"/>
    <n v="8"/>
    <x v="298"/>
    <n v="2023"/>
    <n v="1432.0700000000004"/>
    <n v="1424.0700000000004"/>
    <n v="4485"/>
    <n v="299"/>
  </r>
  <r>
    <s v="Eat out"/>
    <n v="20"/>
    <x v="299"/>
    <n v="2023"/>
    <n v="1439.0700000000004"/>
    <n v="1419.0700000000004"/>
    <n v="4500"/>
    <n v="300"/>
  </r>
  <r>
    <s v="Eat out"/>
    <n v="6.5"/>
    <x v="300"/>
    <n v="2023"/>
    <n v="1434.0700000000004"/>
    <n v="1427.5700000000004"/>
    <n v="4515"/>
    <n v="301"/>
  </r>
  <r>
    <s v="Grocery"/>
    <n v="68.709999999999994"/>
    <x v="301"/>
    <n v="2023"/>
    <n v="1442.5700000000004"/>
    <n v="1373.8600000000004"/>
    <n v="4530"/>
    <n v="302"/>
  </r>
  <r>
    <s v="Eat out"/>
    <n v="23"/>
    <x v="302"/>
    <n v="2023"/>
    <n v="1388.8600000000004"/>
    <n v="1365.8600000000004"/>
    <n v="4545"/>
    <n v="303"/>
  </r>
  <r>
    <s v="None"/>
    <n v="0"/>
    <x v="303"/>
    <n v="2023"/>
    <n v="1380.8600000000004"/>
    <n v="1380.8600000000004"/>
    <n v="4560"/>
    <n v="304"/>
  </r>
  <r>
    <s v="None"/>
    <n v="0"/>
    <x v="304"/>
    <n v="2023"/>
    <n v="1395.8600000000004"/>
    <n v="1395.8600000000004"/>
    <n v="4575"/>
    <n v="305"/>
  </r>
  <r>
    <s v="None"/>
    <n v="0"/>
    <x v="305"/>
    <n v="2023"/>
    <n v="1410.8600000000004"/>
    <n v="1410.8600000000004"/>
    <n v="4590"/>
    <n v="306"/>
  </r>
  <r>
    <s v="None"/>
    <n v="0"/>
    <x v="306"/>
    <n v="2023"/>
    <n v="1425.8600000000004"/>
    <n v="1425.8600000000004"/>
    <n v="4605"/>
    <n v="307"/>
  </r>
  <r>
    <s v="None"/>
    <n v="0"/>
    <x v="307"/>
    <n v="2023"/>
    <n v="1440.8600000000004"/>
    <n v="1440.8600000000004"/>
    <n v="4620"/>
    <n v="308"/>
  </r>
  <r>
    <s v="None"/>
    <n v="0"/>
    <x v="308"/>
    <n v="2023"/>
    <n v="1455.8600000000004"/>
    <n v="1455.8600000000004"/>
    <n v="4635"/>
    <n v="309"/>
  </r>
  <r>
    <s v="None"/>
    <n v="0"/>
    <x v="309"/>
    <n v="2023"/>
    <n v="1470.8600000000004"/>
    <n v="1470.8600000000004"/>
    <n v="4650"/>
    <n v="310"/>
  </r>
  <r>
    <s v="None"/>
    <n v="0"/>
    <x v="310"/>
    <n v="2023"/>
    <n v="1485.8600000000004"/>
    <n v="1485.8600000000004"/>
    <n v="4665"/>
    <n v="311"/>
  </r>
  <r>
    <s v="None"/>
    <n v="0"/>
    <x v="311"/>
    <n v="2023"/>
    <n v="1500.8600000000004"/>
    <n v="1500.8600000000004"/>
    <n v="4680"/>
    <n v="312"/>
  </r>
  <r>
    <s v="None"/>
    <n v="0"/>
    <x v="312"/>
    <n v="2023"/>
    <n v="1515.8600000000004"/>
    <n v="1515.8600000000004"/>
    <n v="4695"/>
    <n v="313"/>
  </r>
  <r>
    <s v="None"/>
    <n v="0"/>
    <x v="313"/>
    <n v="2023"/>
    <n v="1530.8600000000004"/>
    <n v="1530.8600000000004"/>
    <n v="4710"/>
    <n v="314"/>
  </r>
  <r>
    <s v="None"/>
    <n v="0"/>
    <x v="314"/>
    <n v="2023"/>
    <n v="1545.8600000000004"/>
    <n v="1545.8600000000004"/>
    <n v="4725"/>
    <n v="315"/>
  </r>
  <r>
    <s v="None"/>
    <n v="0"/>
    <x v="315"/>
    <n v="2023"/>
    <n v="1560.8600000000004"/>
    <n v="1560.8600000000004"/>
    <n v="4740"/>
    <n v="316"/>
  </r>
  <r>
    <s v="None"/>
    <n v="0"/>
    <x v="316"/>
    <n v="2023"/>
    <n v="1575.8600000000004"/>
    <n v="1575.8600000000004"/>
    <n v="4755"/>
    <n v="317"/>
  </r>
  <r>
    <s v="None"/>
    <n v="0"/>
    <x v="317"/>
    <n v="2023"/>
    <n v="1590.8600000000004"/>
    <n v="1590.8600000000004"/>
    <n v="4770"/>
    <n v="318"/>
  </r>
  <r>
    <s v="None"/>
    <n v="0"/>
    <x v="318"/>
    <n v="2023"/>
    <n v="1605.8600000000004"/>
    <n v="1605.8600000000004"/>
    <n v="4785"/>
    <n v="319"/>
  </r>
  <r>
    <s v="Eat out"/>
    <n v="375"/>
    <x v="319"/>
    <n v="2023"/>
    <n v="1620.8600000000004"/>
    <n v="1245.8600000000004"/>
    <n v="4800"/>
    <n v="320"/>
  </r>
  <r>
    <s v="None"/>
    <n v="0"/>
    <x v="320"/>
    <n v="2024"/>
    <n v="1260.8600000000004"/>
    <n v="1260.8600000000004"/>
    <n v="4815"/>
    <n v="321"/>
  </r>
  <r>
    <s v="None"/>
    <n v="0"/>
    <x v="321"/>
    <n v="2024"/>
    <n v="1275.8600000000004"/>
    <n v="1275.8600000000004"/>
    <n v="4830"/>
    <n v="322"/>
  </r>
  <r>
    <s v="None"/>
    <n v="0"/>
    <x v="322"/>
    <n v="2024"/>
    <n v="1290.8600000000004"/>
    <n v="1290.8600000000004"/>
    <n v="4845"/>
    <n v="323"/>
  </r>
  <r>
    <s v="None"/>
    <n v="0"/>
    <x v="323"/>
    <n v="2024"/>
    <n v="1305.8600000000004"/>
    <n v="1305.8600000000004"/>
    <n v="4860"/>
    <n v="324"/>
  </r>
  <r>
    <s v="None"/>
    <n v="0"/>
    <x v="324"/>
    <n v="2024"/>
    <n v="1320.8600000000004"/>
    <n v="1320.8600000000004"/>
    <n v="4875"/>
    <n v="325"/>
  </r>
  <r>
    <s v="None"/>
    <n v="0"/>
    <x v="325"/>
    <n v="2024"/>
    <n v="1335.8600000000004"/>
    <n v="1335.8600000000004"/>
    <n v="4890"/>
    <n v="326"/>
  </r>
  <r>
    <s v="None"/>
    <n v="0"/>
    <x v="326"/>
    <n v="2024"/>
    <n v="1350.8600000000004"/>
    <n v="1350.8600000000004"/>
    <n v="4905"/>
    <n v="327"/>
  </r>
  <r>
    <s v="None"/>
    <n v="0"/>
    <x v="327"/>
    <n v="2024"/>
    <n v="1365.8600000000004"/>
    <n v="1365.8600000000004"/>
    <n v="4920"/>
    <n v="328"/>
  </r>
  <r>
    <s v="None"/>
    <n v="0"/>
    <x v="328"/>
    <n v="2024"/>
    <n v="1380.8600000000004"/>
    <n v="1380.8600000000004"/>
    <n v="4935"/>
    <n v="329"/>
  </r>
  <r>
    <s v="None"/>
    <n v="0"/>
    <x v="329"/>
    <n v="2024"/>
    <n v="1395.8600000000004"/>
    <n v="1395.8600000000004"/>
    <n v="4950"/>
    <n v="330"/>
  </r>
  <r>
    <s v="None"/>
    <n v="0"/>
    <x v="330"/>
    <n v="2024"/>
    <n v="1410.8600000000004"/>
    <n v="1410.8600000000004"/>
    <n v="4965"/>
    <n v="331"/>
  </r>
  <r>
    <s v="Eat out"/>
    <n v="35"/>
    <x v="331"/>
    <n v="2024"/>
    <n v="1425.8600000000004"/>
    <n v="1390.8600000000004"/>
    <n v="4980"/>
    <n v="332"/>
  </r>
  <r>
    <s v="None"/>
    <n v="0"/>
    <x v="332"/>
    <n v="2024"/>
    <n v="1405.8600000000004"/>
    <n v="1405.8600000000004"/>
    <n v="4995"/>
    <n v="333"/>
  </r>
  <r>
    <s v="None"/>
    <n v="0"/>
    <x v="333"/>
    <n v="2024"/>
    <n v="1420.8600000000004"/>
    <n v="1420.8600000000004"/>
    <n v="5010"/>
    <n v="334"/>
  </r>
  <r>
    <s v="Eat out"/>
    <n v="25"/>
    <x v="334"/>
    <n v="2024"/>
    <n v="1435.8600000000004"/>
    <n v="1410.8600000000004"/>
    <n v="5025"/>
    <n v="335"/>
  </r>
  <r>
    <s v="None"/>
    <n v="0"/>
    <x v="335"/>
    <n v="2024"/>
    <n v="1425.8600000000004"/>
    <n v="1425.8600000000004"/>
    <n v="5040"/>
    <n v="336"/>
  </r>
  <r>
    <s v="None"/>
    <n v="0"/>
    <x v="336"/>
    <n v="2024"/>
    <n v="1440.8600000000004"/>
    <n v="1440.8600000000004"/>
    <n v="5055"/>
    <n v="337"/>
  </r>
  <r>
    <s v="Eat out"/>
    <n v="16"/>
    <x v="337"/>
    <n v="2024"/>
    <n v="1455.8600000000004"/>
    <n v="1439.8600000000004"/>
    <n v="5070"/>
    <n v="338"/>
  </r>
  <r>
    <s v="None"/>
    <n v="0"/>
    <x v="338"/>
    <n v="2024"/>
    <n v="1454.8600000000004"/>
    <n v="1454.8600000000004"/>
    <n v="5085"/>
    <n v="339"/>
  </r>
  <r>
    <s v="Eat out"/>
    <n v="14"/>
    <x v="339"/>
    <n v="2024"/>
    <n v="1469.8600000000004"/>
    <n v="1455.8600000000004"/>
    <n v="5100"/>
    <n v="340"/>
  </r>
  <r>
    <s v="None"/>
    <n v="0"/>
    <x v="340"/>
    <n v="2024"/>
    <n v="1470.8600000000004"/>
    <n v="1470.8600000000004"/>
    <n v="5115"/>
    <n v="341"/>
  </r>
  <r>
    <s v="None"/>
    <n v="0"/>
    <x v="341"/>
    <n v="2024"/>
    <n v="1485.8600000000004"/>
    <n v="1485.8600000000004"/>
    <n v="5130"/>
    <n v="342"/>
  </r>
  <r>
    <s v="Eat out"/>
    <n v="12"/>
    <x v="342"/>
    <n v="2024"/>
    <n v="1500.8600000000004"/>
    <n v="1488.8600000000004"/>
    <n v="5145"/>
    <n v="343"/>
  </r>
  <r>
    <s v="None"/>
    <n v="0"/>
    <x v="343"/>
    <n v="2024"/>
    <n v="1503.8600000000004"/>
    <n v="1503.8600000000004"/>
    <n v="5160"/>
    <n v="344"/>
  </r>
  <r>
    <s v="None"/>
    <n v="0"/>
    <x v="344"/>
    <n v="2024"/>
    <n v="1518.8600000000004"/>
    <n v="1518.8600000000004"/>
    <n v="5175"/>
    <n v="345"/>
  </r>
  <r>
    <s v="None"/>
    <n v="0"/>
    <x v="345"/>
    <n v="2024"/>
    <n v="1533.8600000000004"/>
    <n v="1533.8600000000004"/>
    <n v="5190"/>
    <n v="346"/>
  </r>
  <r>
    <s v="None"/>
    <n v="0"/>
    <x v="346"/>
    <n v="2024"/>
    <n v="1548.8600000000004"/>
    <n v="1548.8600000000004"/>
    <n v="5205"/>
    <n v="347"/>
  </r>
  <r>
    <s v="None"/>
    <n v="0"/>
    <x v="347"/>
    <n v="2024"/>
    <n v="1563.8600000000004"/>
    <n v="1563.8600000000004"/>
    <n v="5220"/>
    <n v="348"/>
  </r>
  <r>
    <s v="None"/>
    <n v="0"/>
    <x v="348"/>
    <n v="2024"/>
    <n v="1578.8600000000004"/>
    <n v="1578.8600000000004"/>
    <n v="5235"/>
    <n v="349"/>
  </r>
  <r>
    <s v="None"/>
    <n v="0"/>
    <x v="349"/>
    <n v="2024"/>
    <n v="1593.8600000000004"/>
    <n v="1593.8600000000004"/>
    <n v="5250"/>
    <n v="350"/>
  </r>
  <r>
    <s v="Eat out"/>
    <n v="648"/>
    <x v="350"/>
    <n v="2024"/>
    <n v="1608.8600000000004"/>
    <n v="960.86000000000035"/>
    <n v="5265"/>
    <n v="351"/>
  </r>
  <r>
    <s v="Eat out"/>
    <n v="31"/>
    <x v="351"/>
    <n v="2024"/>
    <n v="975.86000000000035"/>
    <n v="944.86000000000035"/>
    <n v="5280"/>
    <n v="352"/>
  </r>
  <r>
    <s v="Eat out"/>
    <n v="48.5"/>
    <x v="352"/>
    <n v="2024"/>
    <n v="959.86000000000035"/>
    <n v="911.36000000000035"/>
    <n v="5295"/>
    <n v="353"/>
  </r>
  <r>
    <s v="None"/>
    <n v="0"/>
    <x v="353"/>
    <n v="2024"/>
    <n v="926.36000000000035"/>
    <n v="926.36000000000035"/>
    <n v="5310"/>
    <n v="354"/>
  </r>
  <r>
    <s v="Eat out"/>
    <n v="40"/>
    <x v="354"/>
    <n v="2024"/>
    <n v="941.36000000000035"/>
    <n v="901.36000000000035"/>
    <n v="5325"/>
    <n v="355"/>
  </r>
  <r>
    <s v="Eat out"/>
    <n v="4.45"/>
    <x v="355"/>
    <n v="2024"/>
    <n v="916.36000000000035"/>
    <n v="911.91000000000031"/>
    <n v="5340"/>
    <n v="356"/>
  </r>
  <r>
    <s v="None"/>
    <n v="0"/>
    <x v="356"/>
    <n v="2024"/>
    <n v="926.91000000000031"/>
    <n v="926.91000000000031"/>
    <n v="5355"/>
    <n v="357"/>
  </r>
  <r>
    <s v="Eat out"/>
    <n v="9.5"/>
    <x v="357"/>
    <n v="2024"/>
    <n v="941.91000000000031"/>
    <n v="932.41000000000031"/>
    <n v="5370"/>
    <n v="358"/>
  </r>
  <r>
    <s v="Eat out"/>
    <n v="100"/>
    <x v="358"/>
    <n v="2024"/>
    <n v="947.41000000000031"/>
    <n v="847.41000000000031"/>
    <n v="5385"/>
    <n v="359"/>
  </r>
  <r>
    <s v="Eat out"/>
    <n v="7"/>
    <x v="359"/>
    <n v="2024"/>
    <n v="862.41000000000031"/>
    <n v="855.41000000000031"/>
    <n v="5400"/>
    <n v="360"/>
  </r>
  <r>
    <s v="Eat out"/>
    <n v="9.5"/>
    <x v="360"/>
    <n v="2024"/>
    <n v="870.41000000000031"/>
    <n v="860.91000000000031"/>
    <n v="5415"/>
    <n v="361"/>
  </r>
  <r>
    <s v="Eat out"/>
    <n v="3.5"/>
    <x v="361"/>
    <n v="2024"/>
    <n v="875.91000000000031"/>
    <n v="872.41000000000031"/>
    <n v="5430"/>
    <n v="362"/>
  </r>
  <r>
    <s v="Eat out"/>
    <n v="6"/>
    <x v="362"/>
    <n v="2024"/>
    <n v="887.41000000000031"/>
    <n v="881.41000000000031"/>
    <n v="5445"/>
    <n v="363"/>
  </r>
  <r>
    <s v="Eat out"/>
    <n v="5.05"/>
    <x v="363"/>
    <n v="2024"/>
    <n v="896.41000000000031"/>
    <n v="891.36000000000035"/>
    <n v="5460"/>
    <n v="364"/>
  </r>
  <r>
    <s v="Eat out"/>
    <n v="45"/>
    <x v="364"/>
    <n v="2024"/>
    <n v="906.36000000000035"/>
    <n v="861.36000000000035"/>
    <n v="5475"/>
    <n v="365"/>
  </r>
  <r>
    <s v="Eat out"/>
    <n v="30"/>
    <x v="365"/>
    <n v="2024"/>
    <n v="876.36000000000035"/>
    <n v="846.36000000000035"/>
    <n v="5490"/>
    <n v="366"/>
  </r>
  <r>
    <s v="Eat out"/>
    <n v="27.5"/>
    <x v="366"/>
    <n v="2024"/>
    <n v="861.36000000000035"/>
    <n v="833.86000000000035"/>
    <n v="5505"/>
    <n v="367"/>
  </r>
  <r>
    <s v="Eat out"/>
    <n v="25"/>
    <x v="367"/>
    <n v="2024"/>
    <n v="848.86000000000035"/>
    <n v="823.86000000000035"/>
    <n v="5520"/>
    <n v="368"/>
  </r>
  <r>
    <s v="Eat out"/>
    <n v="12.5"/>
    <x v="368"/>
    <n v="2024"/>
    <n v="838.86000000000035"/>
    <n v="826.36000000000035"/>
    <n v="5535"/>
    <n v="369"/>
  </r>
  <r>
    <s v="Eat out"/>
    <n v="9.5"/>
    <x v="369"/>
    <n v="2024"/>
    <n v="841.36000000000035"/>
    <n v="831.86000000000035"/>
    <n v="5550"/>
    <n v="370"/>
  </r>
  <r>
    <s v="Eat out"/>
    <n v="75"/>
    <x v="370"/>
    <n v="2024"/>
    <n v="846.86000000000035"/>
    <n v="771.86000000000035"/>
    <n v="5565"/>
    <n v="371"/>
  </r>
  <r>
    <s v="Eat out"/>
    <n v="6.55"/>
    <x v="371"/>
    <n v="2024"/>
    <n v="786.86000000000035"/>
    <n v="780.3100000000004"/>
    <n v="5580"/>
    <n v="372"/>
  </r>
  <r>
    <s v="Eat out"/>
    <n v="30"/>
    <x v="372"/>
    <n v="2024"/>
    <n v="795.3100000000004"/>
    <n v="765.3100000000004"/>
    <n v="5595"/>
    <n v="373"/>
  </r>
  <r>
    <s v="Eat out"/>
    <n v="16.7"/>
    <x v="373"/>
    <n v="2024"/>
    <n v="780.3100000000004"/>
    <n v="763.61000000000035"/>
    <n v="5610"/>
    <n v="374"/>
  </r>
  <r>
    <s v="Eat out"/>
    <n v="17"/>
    <x v="374"/>
    <n v="2024"/>
    <n v="778.61000000000035"/>
    <n v="761.61000000000035"/>
    <n v="5625"/>
    <n v="375"/>
  </r>
  <r>
    <s v="Eat out"/>
    <n v="12"/>
    <x v="375"/>
    <n v="2024"/>
    <n v="776.61000000000035"/>
    <n v="764.61000000000035"/>
    <n v="5640"/>
    <n v="376"/>
  </r>
  <r>
    <s v="Eat out"/>
    <n v="17"/>
    <x v="376"/>
    <n v="2024"/>
    <n v="779.61000000000035"/>
    <n v="762.61000000000035"/>
    <n v="5655"/>
    <n v="377"/>
  </r>
  <r>
    <s v="Eat out"/>
    <n v="9.5"/>
    <x v="377"/>
    <n v="2024"/>
    <n v="777.61000000000035"/>
    <n v="768.11000000000035"/>
    <n v="5670"/>
    <n v="378"/>
  </r>
  <r>
    <s v="Eat out"/>
    <n v="50"/>
    <x v="378"/>
    <n v="2024"/>
    <n v="783.11000000000035"/>
    <n v="733.11000000000035"/>
    <n v="5685"/>
    <n v="379"/>
  </r>
  <r>
    <s v="Eat out"/>
    <n v="10"/>
    <x v="379"/>
    <n v="2024"/>
    <n v="748.11000000000035"/>
    <n v="738.11000000000035"/>
    <n v="5700"/>
    <n v="380"/>
  </r>
  <r>
    <s v="Eat out"/>
    <n v="11"/>
    <x v="380"/>
    <n v="2024"/>
    <n v="753.11000000000035"/>
    <n v="742.11000000000035"/>
    <n v="5715"/>
    <n v="381"/>
  </r>
  <r>
    <s v="Eat out"/>
    <n v="19"/>
    <x v="381"/>
    <n v="2024"/>
    <n v="757.11000000000035"/>
    <n v="738.11000000000035"/>
    <n v="5730"/>
    <n v="382"/>
  </r>
  <r>
    <s v="Eat out"/>
    <n v="18"/>
    <x v="382"/>
    <n v="2024"/>
    <n v="753.11000000000035"/>
    <n v="735.11000000000035"/>
    <n v="5745"/>
    <n v="383"/>
  </r>
  <r>
    <s v="Eat out"/>
    <n v="9"/>
    <x v="383"/>
    <n v="2024"/>
    <n v="750.11000000000035"/>
    <n v="741.11000000000035"/>
    <n v="5760"/>
    <n v="384"/>
  </r>
  <r>
    <s v="Eat out"/>
    <n v="26"/>
    <x v="384"/>
    <n v="2024"/>
    <n v="756.11000000000035"/>
    <n v="730.11000000000035"/>
    <n v="5775"/>
    <n v="385"/>
  </r>
  <r>
    <s v="None"/>
    <n v="0"/>
    <x v="385"/>
    <n v="2024"/>
    <n v="745.11000000000035"/>
    <n v="745.11000000000035"/>
    <n v="5790"/>
    <n v="386"/>
  </r>
  <r>
    <s v="Eat out"/>
    <n v="9.5"/>
    <x v="386"/>
    <n v="2024"/>
    <n v="760.11000000000035"/>
    <n v="750.61000000000035"/>
    <n v="5805"/>
    <n v="387"/>
  </r>
  <r>
    <s v="Eat out"/>
    <n v="14.5"/>
    <x v="387"/>
    <n v="2024"/>
    <n v="765.61000000000035"/>
    <n v="751.11000000000035"/>
    <n v="5820"/>
    <n v="388"/>
  </r>
  <r>
    <s v="Eat out"/>
    <n v="5"/>
    <x v="388"/>
    <n v="2024"/>
    <n v="766.11000000000035"/>
    <n v="761.11000000000035"/>
    <n v="5835"/>
    <n v="389"/>
  </r>
  <r>
    <s v="Eat out"/>
    <n v="8.5"/>
    <x v="389"/>
    <n v="2024"/>
    <n v="776.11000000000035"/>
    <n v="767.61000000000035"/>
    <n v="5850"/>
    <n v="390"/>
  </r>
  <r>
    <s v="None"/>
    <n v="0"/>
    <x v="390"/>
    <n v="2024"/>
    <n v="782.61000000000035"/>
    <n v="782.61000000000035"/>
    <n v="5865"/>
    <n v="391"/>
  </r>
  <r>
    <s v="Eat out"/>
    <n v="8"/>
    <x v="391"/>
    <n v="2024"/>
    <n v="797.61000000000035"/>
    <n v="789.61000000000035"/>
    <n v="5880"/>
    <n v="392"/>
  </r>
  <r>
    <s v="Eat out"/>
    <n v="45"/>
    <x v="392"/>
    <n v="2024"/>
    <n v="804.61000000000035"/>
    <n v="759.61000000000035"/>
    <n v="5895"/>
    <n v="393"/>
  </r>
  <r>
    <s v="Eat out"/>
    <n v="15"/>
    <x v="393"/>
    <n v="2024"/>
    <n v="774.61000000000035"/>
    <n v="759.61000000000035"/>
    <n v="5910"/>
    <n v="394"/>
  </r>
  <r>
    <s v="Eat out"/>
    <n v="8.6999999999999993"/>
    <x v="394"/>
    <n v="2024"/>
    <n v="774.61000000000035"/>
    <n v="765.91000000000031"/>
    <n v="5925"/>
    <n v="395"/>
  </r>
  <r>
    <s v="Eat out"/>
    <n v="7.75"/>
    <x v="395"/>
    <n v="2024"/>
    <n v="780.91000000000031"/>
    <n v="773.16000000000031"/>
    <n v="5940"/>
    <n v="396"/>
  </r>
  <r>
    <s v="Eat out"/>
    <n v="7.7"/>
    <x v="396"/>
    <n v="2024"/>
    <n v="788.16000000000031"/>
    <n v="780.46000000000026"/>
    <n v="5955"/>
    <n v="397"/>
  </r>
  <r>
    <s v="Eat out"/>
    <n v="37"/>
    <x v="397"/>
    <n v="2024"/>
    <n v="795.46000000000026"/>
    <n v="758.46000000000026"/>
    <n v="5970"/>
    <n v="398"/>
  </r>
  <r>
    <s v="Eat out"/>
    <n v="58"/>
    <x v="398"/>
    <n v="2024"/>
    <n v="773.46000000000026"/>
    <n v="715.46000000000026"/>
    <n v="5985"/>
    <n v="399"/>
  </r>
  <r>
    <s v="Eat out"/>
    <n v="4.45"/>
    <x v="399"/>
    <n v="2024"/>
    <n v="730.46000000000026"/>
    <n v="726.01000000000022"/>
    <n v="6000"/>
    <n v="400"/>
  </r>
  <r>
    <s v="Eat out"/>
    <n v="11"/>
    <x v="400"/>
    <n v="2024"/>
    <n v="741.01000000000022"/>
    <n v="730.01000000000022"/>
    <n v="6015"/>
    <n v="401"/>
  </r>
  <r>
    <s v="Eat out"/>
    <n v="15.3"/>
    <x v="401"/>
    <n v="2024"/>
    <n v="745.01000000000022"/>
    <n v="729.71000000000026"/>
    <n v="6030"/>
    <n v="402"/>
  </r>
  <r>
    <s v="Eat out"/>
    <n v="39"/>
    <x v="402"/>
    <n v="2024"/>
    <n v="744.71000000000026"/>
    <n v="705.71000000000026"/>
    <n v="6045"/>
    <n v="403"/>
  </r>
  <r>
    <s v="None"/>
    <n v="0"/>
    <x v="403"/>
    <n v="2024"/>
    <n v="720.71000000000026"/>
    <n v="720.71000000000026"/>
    <n v="6060"/>
    <n v="404"/>
  </r>
  <r>
    <s v="Eat out"/>
    <n v="47"/>
    <x v="404"/>
    <n v="2024"/>
    <n v="735.71000000000026"/>
    <n v="688.71000000000026"/>
    <n v="6075"/>
    <n v="405"/>
  </r>
  <r>
    <s v="None"/>
    <n v="0"/>
    <x v="405"/>
    <n v="2024"/>
    <n v="703.71000000000026"/>
    <n v="703.71000000000026"/>
    <n v="6090"/>
    <n v="406"/>
  </r>
  <r>
    <s v="Eat out"/>
    <n v="4.45"/>
    <x v="406"/>
    <n v="2024"/>
    <n v="718.71000000000026"/>
    <n v="714.26000000000022"/>
    <n v="6105"/>
    <n v="407"/>
  </r>
  <r>
    <s v="Eat out"/>
    <n v="25"/>
    <x v="407"/>
    <n v="2024"/>
    <n v="729.26000000000022"/>
    <n v="704.26000000000022"/>
    <n v="6120"/>
    <n v="408"/>
  </r>
  <r>
    <s v="Eat out"/>
    <n v="24"/>
    <x v="408"/>
    <n v="2024"/>
    <n v="719.26000000000022"/>
    <n v="695.26000000000022"/>
    <n v="6135"/>
    <n v="409"/>
  </r>
  <r>
    <s v="Eat out"/>
    <n v="9.3000000000000007"/>
    <x v="409"/>
    <n v="2024"/>
    <n v="710.26000000000022"/>
    <n v="700.96000000000026"/>
    <n v="6150"/>
    <n v="410"/>
  </r>
  <r>
    <s v="Eat out"/>
    <n v="24.5"/>
    <x v="410"/>
    <n v="2024"/>
    <n v="715.96000000000026"/>
    <n v="691.46000000000026"/>
    <n v="6165"/>
    <n v="411"/>
  </r>
  <r>
    <s v="Eat out"/>
    <n v="10"/>
    <x v="411"/>
    <n v="2024"/>
    <n v="706.46000000000026"/>
    <n v="696.46000000000026"/>
    <n v="6180"/>
    <n v="412"/>
  </r>
  <r>
    <s v="Eat out"/>
    <n v="4.45"/>
    <x v="412"/>
    <n v="2024"/>
    <n v="711.46000000000026"/>
    <n v="707.01000000000022"/>
    <n v="6195"/>
    <n v="413"/>
  </r>
  <r>
    <s v="Eat out"/>
    <n v="32"/>
    <x v="413"/>
    <n v="2024"/>
    <n v="722.01000000000022"/>
    <n v="690.01000000000022"/>
    <n v="6210"/>
    <n v="414"/>
  </r>
  <r>
    <s v="Eat out"/>
    <n v="1"/>
    <x v="414"/>
    <n v="2024"/>
    <n v="705.01000000000022"/>
    <n v="704.01000000000022"/>
    <n v="6225"/>
    <n v="415"/>
  </r>
  <r>
    <s v="Eat out"/>
    <n v="73.75"/>
    <x v="415"/>
    <n v="2024"/>
    <n v="719.01000000000022"/>
    <n v="645.26000000000022"/>
    <n v="6240"/>
    <n v="416"/>
  </r>
  <r>
    <s v="Eat out"/>
    <n v="48"/>
    <x v="416"/>
    <n v="2024"/>
    <n v="660.26000000000022"/>
    <n v="612.26000000000022"/>
    <n v="6255"/>
    <n v="417"/>
  </r>
  <r>
    <s v="Eat out"/>
    <n v="20"/>
    <x v="417"/>
    <n v="2024"/>
    <n v="627.26000000000022"/>
    <n v="607.26000000000022"/>
    <n v="6270"/>
    <n v="418"/>
  </r>
  <r>
    <s v="Eat out"/>
    <n v="1.5"/>
    <x v="418"/>
    <n v="2024"/>
    <n v="622.26000000000022"/>
    <n v="620.76000000000022"/>
    <n v="6285"/>
    <n v="419"/>
  </r>
  <r>
    <s v="Eat out"/>
    <n v="15.3"/>
    <x v="419"/>
    <n v="2024"/>
    <n v="635.76000000000022"/>
    <n v="620.46000000000026"/>
    <n v="6300"/>
    <n v="420"/>
  </r>
  <r>
    <s v="Eat out"/>
    <n v="24.5"/>
    <x v="420"/>
    <n v="2024"/>
    <n v="635.46000000000026"/>
    <n v="610.96000000000026"/>
    <n v="6315"/>
    <n v="421"/>
  </r>
  <r>
    <s v="Eat out"/>
    <n v="27"/>
    <x v="421"/>
    <n v="2024"/>
    <n v="625.96000000000026"/>
    <n v="598.96000000000026"/>
    <n v="6330"/>
    <n v="422"/>
  </r>
  <r>
    <s v="Eat out"/>
    <n v="29"/>
    <x v="422"/>
    <n v="2024"/>
    <n v="613.96000000000026"/>
    <n v="584.96000000000026"/>
    <n v="6345"/>
    <n v="423"/>
  </r>
  <r>
    <s v="Eat out"/>
    <n v="23.5"/>
    <x v="423"/>
    <n v="2024"/>
    <n v="599.96000000000026"/>
    <n v="576.46000000000026"/>
    <n v="6360"/>
    <n v="424"/>
  </r>
  <r>
    <s v="Eat out"/>
    <n v="72"/>
    <x v="424"/>
    <n v="2024"/>
    <n v="591.46000000000026"/>
    <n v="519.46000000000026"/>
    <n v="6375"/>
    <n v="425"/>
  </r>
  <r>
    <s v="Eat out"/>
    <n v="20"/>
    <x v="425"/>
    <n v="2024"/>
    <n v="534.46000000000026"/>
    <n v="514.46000000000026"/>
    <n v="6390"/>
    <n v="426"/>
  </r>
  <r>
    <s v="Eat out"/>
    <n v="28.5"/>
    <x v="426"/>
    <n v="2024"/>
    <n v="529.46000000000026"/>
    <n v="500.96000000000026"/>
    <n v="6405"/>
    <n v="427"/>
  </r>
  <r>
    <s v="Eat out"/>
    <n v="6.5"/>
    <x v="427"/>
    <n v="2024"/>
    <n v="515.96000000000026"/>
    <n v="509.46000000000026"/>
    <n v="6420"/>
    <n v="428"/>
  </r>
  <r>
    <s v="Eat out"/>
    <n v="17"/>
    <x v="428"/>
    <n v="2024"/>
    <n v="524.46000000000026"/>
    <n v="507.46000000000026"/>
    <n v="6435"/>
    <n v="429"/>
  </r>
  <r>
    <s v="Eat out"/>
    <n v="5.5"/>
    <x v="429"/>
    <n v="2024"/>
    <n v="522.46000000000026"/>
    <n v="516.96000000000026"/>
    <n v="6450"/>
    <n v="430"/>
  </r>
  <r>
    <s v="Eat out"/>
    <n v="0"/>
    <x v="430"/>
    <n v="2024"/>
    <n v="531.96000000000026"/>
    <n v="531.96000000000026"/>
    <n v="6465"/>
    <n v="431"/>
  </r>
  <r>
    <s v="Eat out"/>
    <n v="0"/>
    <x v="431"/>
    <n v="2024"/>
    <n v="546.96000000000026"/>
    <n v="546.96000000000026"/>
    <n v="6480"/>
    <n v="432"/>
  </r>
  <r>
    <s v="Eat out"/>
    <n v="50"/>
    <x v="432"/>
    <n v="2024"/>
    <n v="561.96000000000026"/>
    <n v="511.96000000000026"/>
    <n v="6495"/>
    <n v="433"/>
  </r>
  <r>
    <s v="Eat out"/>
    <n v="7.5"/>
    <x v="433"/>
    <n v="2024"/>
    <n v="526.96000000000026"/>
    <n v="519.46000000000026"/>
    <n v="6510"/>
    <n v="434"/>
  </r>
  <r>
    <s v="Eat out"/>
    <n v="21"/>
    <x v="434"/>
    <n v="2024"/>
    <n v="534.46000000000026"/>
    <n v="513.46000000000026"/>
    <n v="6525"/>
    <n v="435"/>
  </r>
  <r>
    <s v="Eat out"/>
    <n v="4.5"/>
    <x v="435"/>
    <n v="2024"/>
    <n v="528.46000000000026"/>
    <n v="523.96000000000026"/>
    <n v="6540"/>
    <n v="436"/>
  </r>
  <r>
    <s v="Eat out"/>
    <n v="7"/>
    <x v="436"/>
    <n v="2024"/>
    <n v="538.96000000000026"/>
    <n v="531.96000000000026"/>
    <n v="6555"/>
    <n v="437"/>
  </r>
  <r>
    <s v="Eat out"/>
    <n v="60"/>
    <x v="437"/>
    <n v="2024"/>
    <n v="546.96000000000026"/>
    <n v="486.96000000000026"/>
    <n v="6570"/>
    <n v="438"/>
  </r>
  <r>
    <s v="Eat out"/>
    <n v="0"/>
    <x v="438"/>
    <n v="2024"/>
    <n v="501.96000000000026"/>
    <n v="501.96000000000026"/>
    <n v="6585"/>
    <n v="439"/>
  </r>
  <r>
    <s v="Eat out"/>
    <n v="14"/>
    <x v="439"/>
    <n v="2024"/>
    <n v="516.96000000000026"/>
    <n v="502.96000000000026"/>
    <n v="6600"/>
    <n v="440"/>
  </r>
  <r>
    <s v="Eat out"/>
    <n v="10"/>
    <x v="440"/>
    <n v="2024"/>
    <n v="517.96000000000026"/>
    <n v="507.96000000000026"/>
    <n v="6615"/>
    <n v="441"/>
  </r>
  <r>
    <s v="Eat out"/>
    <n v="50"/>
    <x v="441"/>
    <n v="2024"/>
    <n v="522.96000000000026"/>
    <n v="472.96000000000026"/>
    <n v="6630"/>
    <n v="442"/>
  </r>
  <r>
    <s v="Eat out"/>
    <n v="5"/>
    <x v="442"/>
    <n v="2024"/>
    <n v="487.96000000000026"/>
    <n v="482.96000000000026"/>
    <n v="6645"/>
    <n v="443"/>
  </r>
  <r>
    <s v="Eat out"/>
    <n v="11"/>
    <x v="443"/>
    <n v="2024"/>
    <n v="497.96000000000026"/>
    <n v="486.96000000000026"/>
    <n v="6660"/>
    <n v="444"/>
  </r>
  <r>
    <s v="Eat out"/>
    <n v="11"/>
    <x v="444"/>
    <n v="2024"/>
    <n v="501.96000000000026"/>
    <n v="490.96000000000026"/>
    <n v="6675"/>
    <n v="445"/>
  </r>
  <r>
    <s v="Eat out"/>
    <n v="47.65"/>
    <x v="445"/>
    <n v="2024"/>
    <n v="505.96000000000026"/>
    <n v="458.31000000000029"/>
    <n v="6690"/>
    <n v="446"/>
  </r>
  <r>
    <s v="Eat out"/>
    <n v="26"/>
    <x v="446"/>
    <n v="2024"/>
    <n v="473.31000000000029"/>
    <n v="447.31000000000029"/>
    <n v="6705"/>
    <n v="447"/>
  </r>
  <r>
    <s v="Eat out"/>
    <n v="100"/>
    <x v="447"/>
    <n v="2024"/>
    <n v="462.31000000000029"/>
    <n v="362.31000000000029"/>
    <n v="6720"/>
    <n v="448"/>
  </r>
  <r>
    <s v="Eat out"/>
    <n v="2.5"/>
    <x v="448"/>
    <n v="2024"/>
    <n v="377.31000000000029"/>
    <n v="374.81000000000029"/>
    <n v="6735"/>
    <n v="449"/>
  </r>
  <r>
    <s v="Eat out"/>
    <n v="16.5"/>
    <x v="449"/>
    <n v="2024"/>
    <n v="389.81000000000029"/>
    <n v="373.31000000000029"/>
    <n v="6750"/>
    <n v="450"/>
  </r>
  <r>
    <s v="Eat out"/>
    <n v="27"/>
    <x v="450"/>
    <n v="2024"/>
    <n v="388.31000000000029"/>
    <n v="361.31000000000029"/>
    <n v="6765"/>
    <n v="451"/>
  </r>
  <r>
    <s v="Eat out"/>
    <n v="2.7"/>
    <x v="451"/>
    <n v="2024"/>
    <n v="376.31000000000029"/>
    <n v="373.6100000000003"/>
    <n v="6780"/>
    <n v="452"/>
  </r>
  <r>
    <s v="Eat out"/>
    <n v="18.5"/>
    <x v="452"/>
    <n v="2024"/>
    <n v="388.6100000000003"/>
    <n v="370.1100000000003"/>
    <n v="6795"/>
    <n v="453"/>
  </r>
  <r>
    <s v="Eat out"/>
    <n v="19"/>
    <x v="453"/>
    <n v="2024"/>
    <n v="385.1100000000003"/>
    <n v="366.1100000000003"/>
    <n v="6810"/>
    <n v="454"/>
  </r>
  <r>
    <s v="Eat out"/>
    <n v="18"/>
    <x v="454"/>
    <n v="2024"/>
    <n v="381.1100000000003"/>
    <n v="363.1100000000003"/>
    <n v="6825"/>
    <n v="455"/>
  </r>
  <r>
    <s v="Eat out"/>
    <n v="36"/>
    <x v="455"/>
    <n v="2024"/>
    <n v="378.1100000000003"/>
    <n v="342.1100000000003"/>
    <n v="6840"/>
    <n v="456"/>
  </r>
  <r>
    <s v="Eat out"/>
    <n v="2.7"/>
    <x v="456"/>
    <n v="2024"/>
    <n v="357.1100000000003"/>
    <n v="354.41000000000031"/>
    <n v="6855"/>
    <n v="457"/>
  </r>
  <r>
    <s v="Eat out"/>
    <n v="27"/>
    <x v="457"/>
    <n v="2024"/>
    <n v="369.41000000000031"/>
    <n v="342.41000000000031"/>
    <n v="6870"/>
    <n v="458"/>
  </r>
  <r>
    <s v="Eat out"/>
    <n v="0"/>
    <x v="458"/>
    <n v="2024"/>
    <n v="357.41000000000031"/>
    <n v="357.41000000000031"/>
    <n v="6885"/>
    <n v="459"/>
  </r>
  <r>
    <s v="Eat out"/>
    <n v="45"/>
    <x v="459"/>
    <n v="2024"/>
    <n v="372.41000000000031"/>
    <n v="327.41000000000031"/>
    <n v="6900"/>
    <n v="460"/>
  </r>
  <r>
    <s v="Eat out"/>
    <n v="17.100000000000001"/>
    <x v="460"/>
    <n v="2024"/>
    <n v="342.41000000000031"/>
    <n v="325.31000000000029"/>
    <n v="6915"/>
    <n v="461"/>
  </r>
  <r>
    <s v="Eat out"/>
    <n v="31.25"/>
    <x v="461"/>
    <n v="2024"/>
    <n v="340.31000000000029"/>
    <n v="309.06000000000029"/>
    <n v="6930"/>
    <n v="462"/>
  </r>
  <r>
    <s v="Eat out"/>
    <n v="16"/>
    <x v="462"/>
    <n v="2024"/>
    <n v="324.06000000000029"/>
    <n v="308.06000000000029"/>
    <n v="6945"/>
    <n v="463"/>
  </r>
  <r>
    <s v="Eat out"/>
    <n v="4.7"/>
    <x v="463"/>
    <n v="2024"/>
    <n v="323.06000000000029"/>
    <n v="318.3600000000003"/>
    <n v="6960"/>
    <n v="464"/>
  </r>
  <r>
    <s v="Eat out"/>
    <n v="7.5"/>
    <x v="464"/>
    <n v="2024"/>
    <n v="333.3600000000003"/>
    <n v="325.8600000000003"/>
    <n v="6975"/>
    <n v="465"/>
  </r>
  <r>
    <s v="Eat out"/>
    <n v="34"/>
    <x v="465"/>
    <n v="2024"/>
    <n v="340.8600000000003"/>
    <n v="306.8600000000003"/>
    <n v="6990"/>
    <n v="466"/>
  </r>
  <r>
    <s v="Eat out"/>
    <n v="0"/>
    <x v="466"/>
    <n v="2024"/>
    <n v="321.8600000000003"/>
    <n v="321.8600000000003"/>
    <n v="7005"/>
    <n v="467"/>
  </r>
  <r>
    <s v="Eat out"/>
    <n v="27"/>
    <x v="467"/>
    <n v="2024"/>
    <n v="336.8600000000003"/>
    <n v="309.8600000000003"/>
    <n v="7020"/>
    <n v="468"/>
  </r>
  <r>
    <s v="Eat out"/>
    <n v="28"/>
    <x v="468"/>
    <n v="2024"/>
    <n v="324.8600000000003"/>
    <n v="296.8600000000003"/>
    <n v="7035"/>
    <n v="469"/>
  </r>
  <r>
    <s v="Eat out"/>
    <n v="5.5"/>
    <x v="469"/>
    <n v="2024"/>
    <n v="311.8600000000003"/>
    <n v="306.3600000000003"/>
    <n v="7050"/>
    <n v="470"/>
  </r>
  <r>
    <s v="Eat out"/>
    <n v="35"/>
    <x v="470"/>
    <n v="2024"/>
    <n v="321.3600000000003"/>
    <n v="286.3600000000003"/>
    <n v="7065"/>
    <n v="471"/>
  </r>
  <r>
    <s v="Eat out"/>
    <n v="8.5"/>
    <x v="471"/>
    <n v="2024"/>
    <n v="301.3600000000003"/>
    <n v="292.8600000000003"/>
    <n v="7080"/>
    <n v="472"/>
  </r>
  <r>
    <s v="Eat out"/>
    <n v="0"/>
    <x v="472"/>
    <n v="2024"/>
    <n v="307.8600000000003"/>
    <n v="307.8600000000003"/>
    <n v="7095"/>
    <n v="473"/>
  </r>
  <r>
    <s v="Eat out"/>
    <n v="16.100000000000001"/>
    <x v="473"/>
    <n v="2024"/>
    <n v="322.8600000000003"/>
    <n v="306.76000000000028"/>
    <n v="7110"/>
    <n v="474"/>
  </r>
  <r>
    <s v="Eat out"/>
    <n v="32"/>
    <x v="474"/>
    <n v="2024"/>
    <n v="321.76000000000028"/>
    <n v="289.76000000000028"/>
    <n v="7125"/>
    <n v="475"/>
  </r>
  <r>
    <s v="Eat out"/>
    <n v="34"/>
    <x v="475"/>
    <n v="2024"/>
    <n v="304.76000000000028"/>
    <n v="270.76000000000028"/>
    <n v="7140"/>
    <n v="476"/>
  </r>
  <r>
    <s v="Eat out"/>
    <n v="21"/>
    <x v="476"/>
    <n v="2024"/>
    <n v="285.76000000000028"/>
    <n v="264.76000000000028"/>
    <n v="7155"/>
    <n v="477"/>
  </r>
  <r>
    <s v="Eat out"/>
    <n v="17"/>
    <x v="477"/>
    <n v="2024"/>
    <n v="279.76000000000028"/>
    <n v="262.76000000000028"/>
    <n v="7170"/>
    <n v="478"/>
  </r>
  <r>
    <s v="Eat out"/>
    <n v="6"/>
    <x v="478"/>
    <n v="2024"/>
    <n v="277.76000000000028"/>
    <n v="271.76000000000028"/>
    <n v="7185"/>
    <n v="479"/>
  </r>
  <r>
    <s v="Eat out"/>
    <n v="12.5"/>
    <x v="479"/>
    <n v="2024"/>
    <n v="286.76000000000028"/>
    <n v="274.26000000000028"/>
    <n v="7200"/>
    <n v="480"/>
  </r>
  <r>
    <s v="Eat out"/>
    <n v="12.5"/>
    <x v="480"/>
    <n v="2024"/>
    <n v="289.26000000000028"/>
    <n v="276.76000000000028"/>
    <n v="7215"/>
    <n v="481"/>
  </r>
  <r>
    <s v="Eat out"/>
    <n v="28"/>
    <x v="481"/>
    <n v="2024"/>
    <n v="291.76000000000028"/>
    <n v="263.76000000000028"/>
    <n v="7230"/>
    <n v="482"/>
  </r>
  <r>
    <s v="Eat out"/>
    <n v="37"/>
    <x v="482"/>
    <n v="2024"/>
    <n v="278.76000000000028"/>
    <n v="241.76000000000028"/>
    <n v="7245"/>
    <n v="483"/>
  </r>
  <r>
    <s v="Eat out"/>
    <n v="11"/>
    <x v="483"/>
    <n v="2024"/>
    <n v="256.76000000000028"/>
    <n v="245.76000000000028"/>
    <n v="7260"/>
    <n v="484"/>
  </r>
  <r>
    <s v="Eat out"/>
    <n v="20"/>
    <x v="484"/>
    <n v="2024"/>
    <n v="260.76000000000028"/>
    <n v="240.76000000000028"/>
    <n v="7275"/>
    <n v="485"/>
  </r>
  <r>
    <s v="Eat out"/>
    <n v="9"/>
    <x v="485"/>
    <n v="2024"/>
    <n v="255.76000000000028"/>
    <n v="246.76000000000028"/>
    <n v="7290"/>
    <n v="486"/>
  </r>
  <r>
    <s v="Eat out"/>
    <n v="8.5"/>
    <x v="486"/>
    <n v="2024"/>
    <n v="261.76000000000028"/>
    <n v="253.26000000000028"/>
    <n v="7305"/>
    <n v="487"/>
  </r>
  <r>
    <s v="Eat out"/>
    <n v="22.5"/>
    <x v="487"/>
    <n v="2024"/>
    <n v="268.26000000000028"/>
    <n v="245.76000000000028"/>
    <n v="7320"/>
    <n v="488"/>
  </r>
  <r>
    <s v="Eat out"/>
    <n v="31.5"/>
    <x v="488"/>
    <n v="2024"/>
    <n v="260.76000000000028"/>
    <n v="229.26000000000028"/>
    <n v="7335"/>
    <n v="489"/>
  </r>
  <r>
    <s v="Eat out"/>
    <n v="14.9"/>
    <x v="489"/>
    <n v="2024"/>
    <n v="244.26000000000028"/>
    <n v="229.36000000000027"/>
    <n v="7350"/>
    <n v="490"/>
  </r>
  <r>
    <s v="Eat out"/>
    <n v="10"/>
    <x v="490"/>
    <n v="2024"/>
    <n v="244.36000000000027"/>
    <n v="234.36000000000027"/>
    <n v="7365"/>
    <n v="491"/>
  </r>
  <r>
    <s v="Eat out"/>
    <n v="14.5"/>
    <x v="491"/>
    <n v="2024"/>
    <n v="249.36000000000027"/>
    <n v="234.86000000000027"/>
    <n v="7380"/>
    <n v="492"/>
  </r>
  <r>
    <s v="Eat out"/>
    <n v="17"/>
    <x v="492"/>
    <n v="2024"/>
    <n v="249.86000000000027"/>
    <n v="232.86000000000027"/>
    <n v="7395"/>
    <n v="493"/>
  </r>
  <r>
    <s v="Eat out"/>
    <n v="7"/>
    <x v="493"/>
    <n v="2024"/>
    <n v="247.86000000000027"/>
    <n v="240.86000000000027"/>
    <n v="7410"/>
    <n v="494"/>
  </r>
  <r>
    <s v="Eat out"/>
    <n v="0"/>
    <x v="494"/>
    <n v="2024"/>
    <n v="255.86000000000027"/>
    <n v="255.86000000000027"/>
    <n v="7425"/>
    <n v="495"/>
  </r>
  <r>
    <s v="Eat out"/>
    <n v="75"/>
    <x v="495"/>
    <n v="2024"/>
    <n v="270.86000000000024"/>
    <n v="195.86000000000024"/>
    <n v="7440"/>
    <n v="496"/>
  </r>
  <r>
    <s v="Eat out"/>
    <n v="0"/>
    <x v="496"/>
    <n v="2024"/>
    <n v="210.86000000000024"/>
    <n v="210.86000000000024"/>
    <n v="7455"/>
    <n v="497"/>
  </r>
  <r>
    <s v="Eat out"/>
    <n v="21.5"/>
    <x v="497"/>
    <n v="2024"/>
    <n v="225.86000000000024"/>
    <n v="204.36000000000024"/>
    <n v="7470"/>
    <n v="498"/>
  </r>
  <r>
    <s v="Eat out"/>
    <n v="7"/>
    <x v="498"/>
    <n v="2024"/>
    <n v="219.36000000000024"/>
    <n v="212.36000000000024"/>
    <n v="7485"/>
    <n v="499"/>
  </r>
  <r>
    <s v="Eat out"/>
    <n v="7"/>
    <x v="499"/>
    <n v="2024"/>
    <n v="227.36000000000024"/>
    <n v="220.36000000000024"/>
    <n v="7500"/>
    <n v="500"/>
  </r>
  <r>
    <s v="Eat out"/>
    <n v="0"/>
    <x v="500"/>
    <n v="2024"/>
    <n v="235.36000000000024"/>
    <n v="235.36000000000024"/>
    <n v="7515"/>
    <n v="501"/>
  </r>
  <r>
    <s v="None"/>
    <n v="0"/>
    <x v="501"/>
    <n v="2024"/>
    <n v="250.36000000000024"/>
    <n v="250.36000000000024"/>
    <n v="7530"/>
    <n v="502"/>
  </r>
  <r>
    <s v="Eat out"/>
    <n v="33"/>
    <x v="502"/>
    <n v="2024"/>
    <n v="265.36000000000024"/>
    <n v="232.36000000000024"/>
    <n v="7545"/>
    <n v="503"/>
  </r>
  <r>
    <s v="Eat out"/>
    <n v="7"/>
    <x v="503"/>
    <n v="2024"/>
    <n v="247.36000000000024"/>
    <n v="240.36000000000024"/>
    <n v="7560"/>
    <n v="504"/>
  </r>
  <r>
    <s v="Eat out"/>
    <n v="90"/>
    <x v="504"/>
    <n v="2024"/>
    <n v="255.36000000000024"/>
    <n v="165.36000000000024"/>
    <n v="7575"/>
    <n v="505"/>
  </r>
  <r>
    <s v="Eat out"/>
    <n v="15"/>
    <x v="505"/>
    <n v="2024"/>
    <n v="180.36000000000024"/>
    <n v="165.36000000000024"/>
    <n v="7590"/>
    <n v="506"/>
  </r>
  <r>
    <s v="None"/>
    <n v="0"/>
    <x v="506"/>
    <n v="2024"/>
    <n v="180.36000000000024"/>
    <n v="180.36000000000024"/>
    <n v="7605"/>
    <n v="507"/>
  </r>
  <r>
    <s v="None"/>
    <n v="0"/>
    <x v="507"/>
    <n v="2024"/>
    <n v="195.36000000000024"/>
    <n v="195.36000000000024"/>
    <n v="7620"/>
    <n v="508"/>
  </r>
  <r>
    <s v="Eat out"/>
    <n v="6.5"/>
    <x v="508"/>
    <n v="2024"/>
    <n v="210.36000000000024"/>
    <n v="203.86000000000024"/>
    <n v="7635"/>
    <n v="509"/>
  </r>
  <r>
    <s v="Eat out"/>
    <n v="6.7"/>
    <x v="509"/>
    <n v="2024"/>
    <n v="218.86000000000024"/>
    <n v="212.16000000000025"/>
    <n v="7650"/>
    <n v="510"/>
  </r>
  <r>
    <s v="Eat out"/>
    <n v="8.1999999999999993"/>
    <x v="510"/>
    <n v="2024"/>
    <n v="227.16000000000025"/>
    <n v="218.96000000000026"/>
    <n v="7665"/>
    <n v="511"/>
  </r>
  <r>
    <s v="None"/>
    <n v="0"/>
    <x v="511"/>
    <n v="2024"/>
    <n v="233.96000000000026"/>
    <n v="233.96000000000026"/>
    <n v="7680"/>
    <n v="512"/>
  </r>
  <r>
    <s v="Eat out"/>
    <n v="55"/>
    <x v="512"/>
    <n v="2024"/>
    <n v="248.96000000000026"/>
    <n v="193.96000000000026"/>
    <n v="7695"/>
    <n v="513"/>
  </r>
  <r>
    <s v="Eat out"/>
    <n v="25"/>
    <x v="513"/>
    <n v="2024"/>
    <n v="208.96000000000026"/>
    <n v="183.96000000000026"/>
    <n v="7710"/>
    <n v="514"/>
  </r>
  <r>
    <s v="Total"/>
    <n v="7526.0399999999981"/>
    <x v="514"/>
    <m/>
    <m/>
    <m/>
    <s v="Average daily food"/>
    <n v="14.6421011673151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27BF68-7E79-44B5-AE71-C83CF1757AA6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74:B95" firstHeaderRow="1" firstDataRow="1" firstDataCol="1"/>
  <pivotFields count="11">
    <pivotField showAll="0"/>
    <pivotField dataField="1" showAll="0"/>
    <pivotField showAll="0">
      <items count="5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m="1" x="515"/>
        <item x="129"/>
        <item m="1" x="516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14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h="1" x="0"/>
        <item x="1"/>
        <item x="2"/>
        <item h="1" x="3"/>
        <item t="default"/>
      </items>
    </pivotField>
  </pivotFields>
  <rowFields count="2">
    <field x="10"/>
    <field x="8"/>
  </rowFields>
  <rowItems count="21"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Items count="1">
    <i/>
  </colItems>
  <dataFields count="1">
    <dataField name="Sum of Spend" fld="1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D157C9-5BE6-4149-97E9-9C94486E0BBB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58:B68" firstHeaderRow="1" firstDataRow="1" firstDataCol="1"/>
  <pivotFields count="10">
    <pivotField showAll="0"/>
    <pivotField showAll="0"/>
    <pivotField showAll="0"/>
    <pivotField dataField="1" showAll="0"/>
    <pivotField showAll="0">
      <items count="10">
        <item x="0"/>
        <item m="1" x="8"/>
        <item x="3"/>
        <item x="4"/>
        <item x="5"/>
        <item x="6"/>
        <item x="1"/>
        <item x="7"/>
        <item x="2"/>
        <item t="default"/>
      </items>
    </pivotField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h="1" x="0"/>
        <item x="1"/>
        <item x="2"/>
        <item x="3"/>
        <item x="4"/>
      </items>
    </pivotField>
  </pivotFields>
  <rowFields count="2">
    <field x="9"/>
    <field x="7"/>
  </rowFields>
  <rowItems count="10">
    <i>
      <x v="1"/>
    </i>
    <i r="1">
      <x v="10"/>
    </i>
    <i>
      <x v="2"/>
    </i>
    <i r="1">
      <x v="6"/>
    </i>
    <i r="1">
      <x v="7"/>
    </i>
    <i r="1">
      <x v="10"/>
    </i>
    <i>
      <x v="3"/>
    </i>
    <i r="1">
      <x v="3"/>
    </i>
    <i r="1">
      <x v="10"/>
    </i>
    <i t="grand">
      <x/>
    </i>
  </rowItems>
  <colItems count="1">
    <i/>
  </colItems>
  <dataFields count="1">
    <dataField name="Sum of Amount(Rs.)" fld="3" baseField="9" baseItem="0"/>
  </dataFields>
  <chartFormats count="1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F31872-02B7-44AE-BB09-008F4D1AD73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3:B53" firstHeaderRow="1" firstDataRow="1" firstDataCol="1"/>
  <pivotFields count="10">
    <pivotField showAll="0"/>
    <pivotField dataField="1" showAll="0">
      <items count="6">
        <item x="1"/>
        <item x="2"/>
        <item x="3"/>
        <item h="1" x="4"/>
        <item h="1" x="0"/>
        <item t="default"/>
      </items>
    </pivotField>
    <pivotField showAll="0"/>
    <pivotField showAll="0"/>
    <pivotField showAll="0">
      <items count="10">
        <item x="0"/>
        <item m="1" x="8"/>
        <item x="3"/>
        <item x="4"/>
        <item x="5"/>
        <item x="6"/>
        <item x="1"/>
        <item x="7"/>
        <item x="2"/>
        <item t="default"/>
      </items>
    </pivotField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h="1" x="0"/>
        <item x="1"/>
        <item x="2"/>
        <item x="3"/>
        <item x="4"/>
        <item t="default"/>
      </items>
    </pivotField>
  </pivotFields>
  <rowFields count="2">
    <field x="9"/>
    <field x="7"/>
  </rowFields>
  <rowItems count="10">
    <i>
      <x v="1"/>
    </i>
    <i r="1">
      <x v="10"/>
    </i>
    <i>
      <x v="2"/>
    </i>
    <i r="1">
      <x v="6"/>
    </i>
    <i r="1">
      <x v="7"/>
    </i>
    <i r="1">
      <x v="10"/>
    </i>
    <i>
      <x v="3"/>
    </i>
    <i r="1">
      <x v="3"/>
    </i>
    <i r="1">
      <x v="10"/>
    </i>
    <i t="grand">
      <x/>
    </i>
  </rowItems>
  <colItems count="1">
    <i/>
  </colItems>
  <dataFields count="1">
    <dataField name="Sum of Amount($)" fld="1" baseField="9" baseItem="0"/>
  </dataFields>
  <chartFormats count="1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C57075-1E83-49E4-9C2A-230715639907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9:B38" firstHeaderRow="1" firstDataRow="1" firstDataCol="1"/>
  <pivotFields count="8">
    <pivotField axis="axisRow" showAll="0">
      <items count="10">
        <item h="1" x="5"/>
        <item h="1" x="6"/>
        <item x="4"/>
        <item x="1"/>
        <item x="0"/>
        <item x="2"/>
        <item h="1" x="7"/>
        <item h="1" x="3"/>
        <item h="1" x="8"/>
        <item t="default"/>
      </items>
    </pivotField>
    <pivotField dataField="1" showAll="0">
      <items count="75">
        <item x="58"/>
        <item x="11"/>
        <item x="35"/>
        <item x="27"/>
        <item x="40"/>
        <item x="20"/>
        <item x="17"/>
        <item x="46"/>
        <item x="6"/>
        <item x="16"/>
        <item x="12"/>
        <item x="26"/>
        <item x="31"/>
        <item x="1"/>
        <item x="15"/>
        <item x="14"/>
        <item x="44"/>
        <item x="9"/>
        <item x="2"/>
        <item x="43"/>
        <item x="24"/>
        <item x="8"/>
        <item x="51"/>
        <item x="55"/>
        <item x="3"/>
        <item x="45"/>
        <item x="7"/>
        <item x="50"/>
        <item x="38"/>
        <item x="22"/>
        <item x="30"/>
        <item x="37"/>
        <item x="4"/>
        <item x="5"/>
        <item x="47"/>
        <item x="10"/>
        <item x="48"/>
        <item x="39"/>
        <item x="41"/>
        <item x="23"/>
        <item x="54"/>
        <item x="42"/>
        <item x="57"/>
        <item x="34"/>
        <item x="33"/>
        <item x="52"/>
        <item x="21"/>
        <item x="71"/>
        <item x="53"/>
        <item x="29"/>
        <item x="56"/>
        <item x="49"/>
        <item x="68"/>
        <item x="70"/>
        <item x="28"/>
        <item x="62"/>
        <item x="25"/>
        <item x="61"/>
        <item x="32"/>
        <item x="67"/>
        <item x="13"/>
        <item x="36"/>
        <item x="60"/>
        <item x="65"/>
        <item x="69"/>
        <item x="64"/>
        <item x="63"/>
        <item x="59"/>
        <item x="66"/>
        <item x="72"/>
        <item x="73"/>
        <item x="0"/>
        <item x="18"/>
        <item x="19"/>
        <item t="default"/>
      </items>
    </pivotField>
    <pivotField showAll="0"/>
    <pivotField showAll="0">
      <items count="13">
        <item x="1"/>
        <item x="0"/>
        <item x="4"/>
        <item x="5"/>
        <item x="3"/>
        <item x="8"/>
        <item x="7"/>
        <item x="6"/>
        <item x="9"/>
        <item x="10"/>
        <item x="2"/>
        <item x="11"/>
        <item t="default"/>
      </items>
    </pivotField>
    <pivotField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3">
    <field x="7"/>
    <field x="5"/>
    <field x="0"/>
  </rowFields>
  <rowItems count="19">
    <i>
      <x v="1"/>
    </i>
    <i r="1">
      <x v="10"/>
    </i>
    <i>
      <x v="2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2"/>
    </i>
    <i r="1">
      <x v="5"/>
    </i>
    <i r="1">
      <x v="6"/>
    </i>
    <i t="grand">
      <x/>
    </i>
  </rowItems>
  <colItems count="1">
    <i/>
  </colItems>
  <dataFields count="1">
    <dataField name="Sum of Amount($)" fld="1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585DA-EEDE-49F1-9DB2-3241F91F8C5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7" firstHeaderRow="1" firstDataRow="1" firstDataCol="1"/>
  <pivotFields count="7">
    <pivotField axis="axisRow" showAll="0">
      <items count="11">
        <item h="1" x="4"/>
        <item x="3"/>
        <item h="1" x="6"/>
        <item x="2"/>
        <item x="8"/>
        <item x="1"/>
        <item h="1" x="9"/>
        <item h="1" x="5"/>
        <item x="0"/>
        <item h="1" x="7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6">
    <i>
      <x v="1"/>
    </i>
    <i>
      <x v="3"/>
    </i>
    <i>
      <x v="4"/>
    </i>
    <i>
      <x v="5"/>
    </i>
    <i>
      <x v="8"/>
    </i>
    <i t="grand">
      <x/>
    </i>
  </rowItems>
  <colItems count="1">
    <i/>
  </colItems>
  <dataFields count="1">
    <dataField name="Sum of M. A. in Rs.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5CFFE-ACC2-40BA-980A-9DD4BAD33415}">
  <sheetPr codeName="Sheet2">
    <tabColor rgb="FF92D050"/>
  </sheetPr>
  <dimension ref="A1:L15"/>
  <sheetViews>
    <sheetView topLeftCell="G1" zoomScale="130" workbookViewId="0">
      <selection activeCell="K15" sqref="K15"/>
    </sheetView>
  </sheetViews>
  <sheetFormatPr defaultColWidth="16.44140625" defaultRowHeight="14.4" x14ac:dyDescent="0.3"/>
  <sheetData>
    <row r="1" spans="1:12" x14ac:dyDescent="0.3">
      <c r="A1" s="52" t="s">
        <v>86</v>
      </c>
      <c r="B1" s="53" t="s">
        <v>87</v>
      </c>
      <c r="C1" s="58" t="s">
        <v>88</v>
      </c>
      <c r="D1" s="59" t="s">
        <v>89</v>
      </c>
      <c r="E1" s="60" t="s">
        <v>90</v>
      </c>
      <c r="F1" s="61" t="s">
        <v>91</v>
      </c>
      <c r="G1" s="64" t="s">
        <v>92</v>
      </c>
      <c r="H1" s="66" t="s">
        <v>87</v>
      </c>
      <c r="I1" s="75" t="s">
        <v>93</v>
      </c>
      <c r="J1" s="73" t="s">
        <v>94</v>
      </c>
      <c r="K1" s="73" t="s">
        <v>87</v>
      </c>
      <c r="L1" s="73" t="s">
        <v>88</v>
      </c>
    </row>
    <row r="2" spans="1:12" x14ac:dyDescent="0.3">
      <c r="A2" s="52">
        <v>100000</v>
      </c>
      <c r="B2" s="54">
        <v>3.5000000000000003E-2</v>
      </c>
      <c r="C2" s="58">
        <f>A2*B2</f>
        <v>3500.0000000000005</v>
      </c>
      <c r="D2" s="59">
        <v>0</v>
      </c>
      <c r="E2" s="60">
        <v>0</v>
      </c>
      <c r="F2" s="62">
        <f>A2-D2+E2</f>
        <v>100000</v>
      </c>
      <c r="G2" s="52">
        <v>100000</v>
      </c>
      <c r="H2" s="67">
        <v>3.5000000000000003E-2</v>
      </c>
      <c r="I2" s="71">
        <f>G2*H2</f>
        <v>3500.0000000000005</v>
      </c>
      <c r="J2" s="73">
        <v>100000</v>
      </c>
      <c r="K2" s="76">
        <v>3.5000000000000003E-2</v>
      </c>
      <c r="L2" s="73">
        <f>J2*K2</f>
        <v>3500.0000000000005</v>
      </c>
    </row>
    <row r="3" spans="1:12" x14ac:dyDescent="0.3">
      <c r="A3" s="52">
        <v>400000</v>
      </c>
      <c r="B3" s="55">
        <v>5.2499999999999998E-2</v>
      </c>
      <c r="C3" s="58">
        <f t="shared" ref="C3:C10" si="0">A3*B3</f>
        <v>21000</v>
      </c>
      <c r="D3" s="59">
        <v>0</v>
      </c>
      <c r="E3" s="60">
        <v>0</v>
      </c>
      <c r="F3" s="62">
        <f t="shared" ref="F3:F10" si="1">A3-D3+E3</f>
        <v>400000</v>
      </c>
      <c r="G3" s="52">
        <v>400000</v>
      </c>
      <c r="H3" s="67">
        <v>5.5E-2</v>
      </c>
      <c r="I3" s="71">
        <f t="shared" ref="I3:I12" si="2">G3*H3</f>
        <v>22000</v>
      </c>
      <c r="J3" s="73">
        <v>400000</v>
      </c>
      <c r="K3" s="76">
        <v>5.2499999999999998E-2</v>
      </c>
      <c r="L3" s="73">
        <f t="shared" ref="L3:L11" si="3">J3*K3</f>
        <v>21000</v>
      </c>
    </row>
    <row r="4" spans="1:12" x14ac:dyDescent="0.3">
      <c r="A4" s="52">
        <v>1213000</v>
      </c>
      <c r="B4" s="56">
        <v>7.0000000000000007E-2</v>
      </c>
      <c r="C4" s="58">
        <f t="shared" si="0"/>
        <v>84910.000000000015</v>
      </c>
      <c r="D4" s="59">
        <v>925000</v>
      </c>
      <c r="E4" s="60">
        <v>0</v>
      </c>
      <c r="F4" s="62">
        <f t="shared" si="1"/>
        <v>288000</v>
      </c>
      <c r="G4" s="52">
        <v>288000</v>
      </c>
      <c r="H4" s="67">
        <v>7.0000000000000007E-2</v>
      </c>
      <c r="I4" s="71">
        <f t="shared" si="2"/>
        <v>20160.000000000004</v>
      </c>
      <c r="J4" s="73">
        <v>288000</v>
      </c>
      <c r="K4" s="76">
        <v>7.0000000000000007E-2</v>
      </c>
      <c r="L4" s="73">
        <f t="shared" si="3"/>
        <v>20160.000000000004</v>
      </c>
    </row>
    <row r="5" spans="1:12" x14ac:dyDescent="0.3">
      <c r="A5" s="52">
        <v>45000</v>
      </c>
      <c r="B5" s="54">
        <v>3.5000000000000003E-2</v>
      </c>
      <c r="C5" s="58">
        <f t="shared" si="0"/>
        <v>1575.0000000000002</v>
      </c>
      <c r="D5" s="59">
        <v>0</v>
      </c>
      <c r="E5" s="60">
        <v>350000</v>
      </c>
      <c r="F5" s="62">
        <f t="shared" si="1"/>
        <v>395000</v>
      </c>
      <c r="G5" s="52">
        <v>100000</v>
      </c>
      <c r="H5" s="67">
        <v>3.5000000000000003E-2</v>
      </c>
      <c r="I5" s="71">
        <f t="shared" si="2"/>
        <v>3500.0000000000005</v>
      </c>
      <c r="J5" s="73">
        <v>750000</v>
      </c>
      <c r="K5" s="76">
        <v>5.5E-2</v>
      </c>
      <c r="L5" s="73">
        <f>J5*K5</f>
        <v>41250</v>
      </c>
    </row>
    <row r="6" spans="1:12" x14ac:dyDescent="0.3">
      <c r="A6" s="52">
        <v>10000</v>
      </c>
      <c r="B6" s="54">
        <v>3.5000000000000003E-2</v>
      </c>
      <c r="C6" s="58">
        <f t="shared" si="0"/>
        <v>350.00000000000006</v>
      </c>
      <c r="D6" s="59">
        <v>0</v>
      </c>
      <c r="E6" s="60">
        <v>400000</v>
      </c>
      <c r="F6" s="62">
        <f t="shared" si="1"/>
        <v>410000</v>
      </c>
      <c r="G6" s="52">
        <v>295000</v>
      </c>
      <c r="H6" s="67">
        <v>0.06</v>
      </c>
      <c r="I6" s="71">
        <f t="shared" si="2"/>
        <v>17700</v>
      </c>
      <c r="J6" s="73">
        <v>45000</v>
      </c>
      <c r="K6" s="76">
        <v>3.5000000000000003E-2</v>
      </c>
      <c r="L6" s="73">
        <f t="shared" si="3"/>
        <v>1575.0000000000002</v>
      </c>
    </row>
    <row r="7" spans="1:12" x14ac:dyDescent="0.3">
      <c r="A7" s="52">
        <v>300000</v>
      </c>
      <c r="B7" s="54">
        <v>6.5000000000000002E-2</v>
      </c>
      <c r="C7" s="58">
        <f t="shared" si="0"/>
        <v>19500</v>
      </c>
      <c r="D7" s="59">
        <v>0</v>
      </c>
      <c r="E7" s="60">
        <v>0</v>
      </c>
      <c r="F7" s="62">
        <f t="shared" si="1"/>
        <v>300000</v>
      </c>
      <c r="G7" s="52">
        <v>300000</v>
      </c>
      <c r="H7" s="67">
        <v>6.5000000000000002E-2</v>
      </c>
      <c r="I7" s="71">
        <f t="shared" si="2"/>
        <v>19500</v>
      </c>
      <c r="J7" s="73">
        <v>10000</v>
      </c>
      <c r="K7" s="76">
        <v>3.5000000000000003E-2</v>
      </c>
      <c r="L7" s="73">
        <f t="shared" si="3"/>
        <v>350.00000000000006</v>
      </c>
    </row>
    <row r="8" spans="1:12" x14ac:dyDescent="0.3">
      <c r="A8" s="52">
        <v>300000</v>
      </c>
      <c r="B8" s="54">
        <v>7.0000000000000007E-2</v>
      </c>
      <c r="C8" s="58">
        <f t="shared" si="0"/>
        <v>21000.000000000004</v>
      </c>
      <c r="D8" s="59">
        <v>0</v>
      </c>
      <c r="E8" s="60">
        <v>0</v>
      </c>
      <c r="F8" s="62">
        <f t="shared" si="1"/>
        <v>300000</v>
      </c>
      <c r="G8" s="52">
        <v>300000</v>
      </c>
      <c r="H8" s="67">
        <v>7.0000000000000007E-2</v>
      </c>
      <c r="I8" s="71">
        <f t="shared" si="2"/>
        <v>21000.000000000004</v>
      </c>
      <c r="J8" s="73">
        <v>300000</v>
      </c>
      <c r="K8" s="76">
        <v>6.5000000000000002E-2</v>
      </c>
      <c r="L8" s="73">
        <f t="shared" si="3"/>
        <v>19500</v>
      </c>
    </row>
    <row r="9" spans="1:12" x14ac:dyDescent="0.3">
      <c r="A9" s="52">
        <v>470000</v>
      </c>
      <c r="B9" s="54">
        <v>2.9000000000000001E-2</v>
      </c>
      <c r="C9" s="58">
        <f t="shared" si="0"/>
        <v>13630</v>
      </c>
      <c r="D9" s="59">
        <v>0</v>
      </c>
      <c r="E9" s="60">
        <v>0</v>
      </c>
      <c r="F9" s="62">
        <f t="shared" si="1"/>
        <v>470000</v>
      </c>
      <c r="G9" s="52">
        <v>470000</v>
      </c>
      <c r="H9" s="67">
        <v>5.5E-2</v>
      </c>
      <c r="I9" s="71">
        <f t="shared" si="2"/>
        <v>25850</v>
      </c>
      <c r="J9" s="73">
        <v>300000</v>
      </c>
      <c r="K9" s="76">
        <v>7.0000000000000007E-2</v>
      </c>
      <c r="L9" s="73">
        <f t="shared" si="3"/>
        <v>21000.000000000004</v>
      </c>
    </row>
    <row r="10" spans="1:12" x14ac:dyDescent="0.3">
      <c r="A10" s="52">
        <v>3000</v>
      </c>
      <c r="B10" s="54">
        <v>3.5000000000000003E-2</v>
      </c>
      <c r="C10" s="58">
        <f t="shared" si="0"/>
        <v>105.00000000000001</v>
      </c>
      <c r="D10" s="59">
        <v>0</v>
      </c>
      <c r="E10" s="60">
        <v>0</v>
      </c>
      <c r="F10" s="62">
        <f t="shared" si="1"/>
        <v>3000</v>
      </c>
      <c r="G10" s="52">
        <v>100000</v>
      </c>
      <c r="H10" s="67">
        <v>3.5000000000000003E-2</v>
      </c>
      <c r="I10" s="71">
        <f t="shared" si="2"/>
        <v>3500.0000000000005</v>
      </c>
      <c r="J10" s="73">
        <v>470000</v>
      </c>
      <c r="K10" s="76">
        <v>5.5E-2</v>
      </c>
      <c r="L10" s="73">
        <f t="shared" si="3"/>
        <v>25850</v>
      </c>
    </row>
    <row r="11" spans="1:12" x14ac:dyDescent="0.3">
      <c r="A11" s="52">
        <f>SUM(A2:A10)</f>
        <v>2841000</v>
      </c>
      <c r="B11" s="57">
        <f>C11/A11*100</f>
        <v>5.8278775079197471</v>
      </c>
      <c r="C11" s="58">
        <f>SUM(C2:C10)</f>
        <v>165570.00000000003</v>
      </c>
      <c r="D11" s="59"/>
      <c r="E11" s="60"/>
      <c r="F11" s="62"/>
      <c r="G11" s="52">
        <v>310000</v>
      </c>
      <c r="H11" s="67">
        <v>0.06</v>
      </c>
      <c r="I11" s="71">
        <f t="shared" si="2"/>
        <v>18600</v>
      </c>
      <c r="J11" s="73">
        <v>3000</v>
      </c>
      <c r="K11" s="76">
        <v>3.5000000000000003E-2</v>
      </c>
      <c r="L11" s="73">
        <f t="shared" si="3"/>
        <v>105.00000000000001</v>
      </c>
    </row>
    <row r="12" spans="1:12" x14ac:dyDescent="0.3">
      <c r="A12" s="52"/>
      <c r="B12" s="53"/>
      <c r="C12" s="58"/>
      <c r="D12" s="59"/>
      <c r="E12" s="60"/>
      <c r="F12" s="62"/>
      <c r="G12" s="52">
        <v>3000</v>
      </c>
      <c r="H12" s="67">
        <v>3.5000000000000003E-2</v>
      </c>
      <c r="I12" s="71">
        <f t="shared" si="2"/>
        <v>105.00000000000001</v>
      </c>
      <c r="J12" s="73">
        <f>SUM(J2:J11)</f>
        <v>2666000</v>
      </c>
      <c r="K12" s="74">
        <f>L12/J12*100</f>
        <v>5.7873218304576142</v>
      </c>
      <c r="L12" s="73">
        <f>SUM(L2:L11)</f>
        <v>154290</v>
      </c>
    </row>
    <row r="13" spans="1:12" x14ac:dyDescent="0.3">
      <c r="A13" s="52"/>
      <c r="B13" s="53"/>
      <c r="C13" s="58"/>
      <c r="D13" s="59"/>
      <c r="E13" s="60"/>
      <c r="F13" s="62"/>
      <c r="G13" s="52">
        <f>SUM(G2:G12)</f>
        <v>2666000</v>
      </c>
      <c r="H13" s="68">
        <f>I13/G13*100</f>
        <v>5.8295198799699923</v>
      </c>
      <c r="I13" s="70">
        <f>SUM(I2:I12)</f>
        <v>155415</v>
      </c>
    </row>
    <row r="14" spans="1:12" x14ac:dyDescent="0.3">
      <c r="A14" s="52"/>
      <c r="B14" s="53"/>
      <c r="C14" s="58"/>
      <c r="D14" s="59"/>
      <c r="E14" s="60"/>
      <c r="F14" s="62"/>
      <c r="G14" s="52">
        <f>G13</f>
        <v>2666000</v>
      </c>
      <c r="H14" s="68">
        <f>B11</f>
        <v>5.8278775079197471</v>
      </c>
      <c r="I14" s="70">
        <f>G14*H14/100</f>
        <v>155371.21436114048</v>
      </c>
    </row>
    <row r="15" spans="1:12" ht="15" thickBot="1" x14ac:dyDescent="0.35">
      <c r="A15" s="52"/>
      <c r="B15" s="53"/>
      <c r="C15" s="58"/>
      <c r="D15" s="59"/>
      <c r="E15" s="60"/>
      <c r="F15" s="63"/>
      <c r="G15" s="65">
        <f>A11</f>
        <v>2841000</v>
      </c>
      <c r="H15" s="69">
        <f>H13</f>
        <v>5.8295198799699923</v>
      </c>
      <c r="I15" s="72">
        <f>G15*H15/100</f>
        <v>165616.65978994747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BAFD2-F985-46FA-94A2-9F60751D7D9F}">
  <sheetPr codeName="Sheet9">
    <tabColor rgb="FFFF0000"/>
  </sheetPr>
  <dimension ref="A1:C11"/>
  <sheetViews>
    <sheetView workbookViewId="0">
      <selection activeCell="F4" sqref="F4"/>
    </sheetView>
  </sheetViews>
  <sheetFormatPr defaultColWidth="18.109375" defaultRowHeight="31.8" customHeight="1" x14ac:dyDescent="0.3"/>
  <sheetData>
    <row r="1" spans="1:3" ht="31.8" customHeight="1" x14ac:dyDescent="0.3">
      <c r="A1" s="22" t="s">
        <v>0</v>
      </c>
      <c r="B1" s="22" t="s">
        <v>8</v>
      </c>
      <c r="C1" s="22" t="s">
        <v>10</v>
      </c>
    </row>
    <row r="2" spans="1:3" ht="31.8" customHeight="1" x14ac:dyDescent="0.3">
      <c r="A2" s="22" t="s">
        <v>16</v>
      </c>
      <c r="B2" s="23">
        <v>2600</v>
      </c>
      <c r="C2" s="23">
        <v>143000</v>
      </c>
    </row>
    <row r="3" spans="1:3" ht="31.8" customHeight="1" x14ac:dyDescent="0.3">
      <c r="A3" s="22" t="s">
        <v>19</v>
      </c>
      <c r="B3" s="23">
        <v>1083.3333333333333</v>
      </c>
      <c r="C3" s="23">
        <v>59583.333333333328</v>
      </c>
    </row>
    <row r="4" spans="1:3" ht="31.8" customHeight="1" x14ac:dyDescent="0.3">
      <c r="A4" s="22" t="s">
        <v>22</v>
      </c>
      <c r="B4" s="23">
        <v>225</v>
      </c>
      <c r="C4" s="23">
        <v>12375</v>
      </c>
    </row>
    <row r="5" spans="1:3" ht="31.8" customHeight="1" x14ac:dyDescent="0.3">
      <c r="A5" s="22" t="s">
        <v>25</v>
      </c>
      <c r="B5" s="23">
        <v>225</v>
      </c>
      <c r="C5" s="23">
        <v>12375</v>
      </c>
    </row>
    <row r="6" spans="1:3" ht="31.8" customHeight="1" x14ac:dyDescent="0.3">
      <c r="A6" s="22" t="s">
        <v>27</v>
      </c>
      <c r="B6" s="23">
        <v>83.333333333333329</v>
      </c>
      <c r="C6" s="23">
        <v>4583.333333333333</v>
      </c>
    </row>
    <row r="7" spans="1:3" ht="31.8" customHeight="1" x14ac:dyDescent="0.3">
      <c r="A7" s="22" t="s">
        <v>28</v>
      </c>
      <c r="B7" s="23">
        <v>100</v>
      </c>
      <c r="C7" s="23">
        <v>5500</v>
      </c>
    </row>
    <row r="8" spans="1:3" ht="31.8" customHeight="1" x14ac:dyDescent="0.3">
      <c r="A8" s="22" t="s">
        <v>29</v>
      </c>
      <c r="B8" s="23">
        <v>166.66666666666666</v>
      </c>
      <c r="C8" s="23">
        <v>9166.6666666666661</v>
      </c>
    </row>
    <row r="9" spans="1:3" ht="31.8" customHeight="1" x14ac:dyDescent="0.3">
      <c r="A9" s="22" t="s">
        <v>30</v>
      </c>
      <c r="B9" s="23">
        <v>27.458333333333332</v>
      </c>
      <c r="C9" s="23">
        <v>1510.2083333333333</v>
      </c>
    </row>
    <row r="10" spans="1:3" ht="31.8" customHeight="1" x14ac:dyDescent="0.3">
      <c r="A10" s="22" t="s">
        <v>31</v>
      </c>
      <c r="B10" s="23">
        <v>500</v>
      </c>
      <c r="C10" s="23">
        <v>27500</v>
      </c>
    </row>
    <row r="11" spans="1:3" ht="31.8" customHeight="1" x14ac:dyDescent="0.3">
      <c r="A11" s="22" t="s">
        <v>32</v>
      </c>
      <c r="B11" s="23">
        <v>5010.7916666666661</v>
      </c>
      <c r="C11" s="23">
        <v>275593.54166666663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D95E4-6786-4702-8046-788126613986}">
  <sheetPr codeName="Sheet1">
    <tabColor rgb="FFFF0000"/>
  </sheetPr>
  <dimension ref="A1:Y11"/>
  <sheetViews>
    <sheetView zoomScale="141" zoomScaleNormal="85" workbookViewId="0">
      <selection activeCell="E11" sqref="E11"/>
    </sheetView>
  </sheetViews>
  <sheetFormatPr defaultColWidth="25.109375" defaultRowHeight="14.4" x14ac:dyDescent="0.3"/>
  <cols>
    <col min="2" max="2" width="29" bestFit="1" customWidth="1"/>
    <col min="18" max="18" width="25.109375" customWidth="1"/>
  </cols>
  <sheetData>
    <row r="1" spans="1:25" ht="16.2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4</v>
      </c>
      <c r="H1" s="2" t="s">
        <v>6</v>
      </c>
      <c r="I1" s="3" t="s">
        <v>4</v>
      </c>
      <c r="J1" s="113"/>
      <c r="K1" s="22" t="s">
        <v>0</v>
      </c>
      <c r="L1" s="22" t="s">
        <v>7</v>
      </c>
      <c r="M1" s="22" t="s">
        <v>8</v>
      </c>
      <c r="N1" s="22" t="s">
        <v>9</v>
      </c>
      <c r="O1" s="22" t="s">
        <v>10</v>
      </c>
      <c r="P1" s="22" t="s">
        <v>11</v>
      </c>
      <c r="Q1" s="22" t="s">
        <v>12</v>
      </c>
      <c r="S1" s="4" t="s">
        <v>13</v>
      </c>
      <c r="T1" s="5" t="s">
        <v>14</v>
      </c>
      <c r="U1" s="6" t="s">
        <v>15</v>
      </c>
      <c r="V1" s="7">
        <v>750000</v>
      </c>
      <c r="W1" s="32">
        <f>V1*V3</f>
        <v>82500</v>
      </c>
      <c r="X1" s="7">
        <f>W1/12</f>
        <v>6875</v>
      </c>
      <c r="Y1" s="8">
        <f>X1/V2</f>
        <v>125</v>
      </c>
    </row>
    <row r="2" spans="1:25" x14ac:dyDescent="0.3">
      <c r="A2" s="9" t="s">
        <v>16</v>
      </c>
      <c r="B2" s="10">
        <v>15600</v>
      </c>
      <c r="C2" s="10">
        <v>4</v>
      </c>
      <c r="D2" s="10">
        <f>B2*C2</f>
        <v>62400</v>
      </c>
      <c r="E2" s="10">
        <f>D2*$V$2</f>
        <v>3432000</v>
      </c>
      <c r="F2" s="10">
        <f>D2/2</f>
        <v>31200</v>
      </c>
      <c r="G2" s="10">
        <f>F2*$V$2</f>
        <v>1716000</v>
      </c>
      <c r="H2" s="10">
        <f>D2-F2</f>
        <v>31200</v>
      </c>
      <c r="I2" s="10">
        <f>E2-G2</f>
        <v>1716000</v>
      </c>
      <c r="J2" s="10"/>
      <c r="K2" s="24" t="str">
        <f t="shared" ref="K2:K11" si="0">A2</f>
        <v>Tuition fees</v>
      </c>
      <c r="L2" s="25">
        <f t="shared" ref="L2:L10" si="1">F2/52</f>
        <v>600</v>
      </c>
      <c r="M2" s="25">
        <f>L2*52/12</f>
        <v>2600</v>
      </c>
      <c r="N2" s="25">
        <f>L2*$V$2</f>
        <v>33000</v>
      </c>
      <c r="O2" s="25">
        <f>M2*$V$2</f>
        <v>143000</v>
      </c>
      <c r="P2" s="24">
        <f>N2</f>
        <v>33000</v>
      </c>
      <c r="Q2" s="24">
        <f>P2*52</f>
        <v>1716000</v>
      </c>
      <c r="S2" s="11" t="s">
        <v>17</v>
      </c>
      <c r="T2" s="12">
        <f>D11</f>
        <v>120259</v>
      </c>
      <c r="U2" s="11" t="s">
        <v>18</v>
      </c>
      <c r="V2" s="13">
        <v>55</v>
      </c>
      <c r="W2" s="14"/>
      <c r="X2" s="13"/>
      <c r="Y2" s="14"/>
    </row>
    <row r="3" spans="1:25" x14ac:dyDescent="0.3">
      <c r="A3" s="9" t="s">
        <v>19</v>
      </c>
      <c r="B3" s="10">
        <v>250</v>
      </c>
      <c r="C3" s="10">
        <v>104</v>
      </c>
      <c r="D3" s="10">
        <f t="shared" ref="D3:D10" si="2">B3*C3</f>
        <v>26000</v>
      </c>
      <c r="E3" s="10">
        <f t="shared" ref="E3:E10" si="3">D3*$V$2</f>
        <v>1430000</v>
      </c>
      <c r="F3" s="10">
        <f t="shared" ref="F3:F10" si="4">D3/2</f>
        <v>13000</v>
      </c>
      <c r="G3" s="10">
        <f t="shared" ref="G3:G10" si="5">F3*$V$2</f>
        <v>715000</v>
      </c>
      <c r="H3" s="10">
        <f t="shared" ref="H3:I10" si="6">D3-F3</f>
        <v>13000</v>
      </c>
      <c r="I3" s="10">
        <f t="shared" si="6"/>
        <v>715000</v>
      </c>
      <c r="J3" s="10"/>
      <c r="K3" s="24" t="str">
        <f t="shared" si="0"/>
        <v>Rent</v>
      </c>
      <c r="L3" s="25">
        <f t="shared" si="1"/>
        <v>250</v>
      </c>
      <c r="M3" s="25">
        <f t="shared" ref="M3:M10" si="7">L3*52/12</f>
        <v>1083.3333333333333</v>
      </c>
      <c r="N3" s="25">
        <f t="shared" ref="N3:N10" si="8">L3*$V$2</f>
        <v>13750</v>
      </c>
      <c r="O3" s="25">
        <f t="shared" ref="O3:O10" si="9">M3*$V$2</f>
        <v>59583.333333333328</v>
      </c>
      <c r="P3" s="25">
        <f>N3+N4+N5</f>
        <v>19461.538461538461</v>
      </c>
      <c r="Q3" s="24">
        <f t="shared" ref="Q3:Q10" si="10">P3*52</f>
        <v>1012000</v>
      </c>
      <c r="S3" s="11" t="s">
        <v>20</v>
      </c>
      <c r="T3" s="13">
        <f>V5*V4*2</f>
        <v>49920</v>
      </c>
      <c r="U3" s="11" t="s">
        <v>21</v>
      </c>
      <c r="V3" s="33">
        <v>0.11</v>
      </c>
      <c r="W3" s="14"/>
      <c r="X3" s="13"/>
      <c r="Y3" s="14"/>
    </row>
    <row r="4" spans="1:25" ht="15" thickBot="1" x14ac:dyDescent="0.35">
      <c r="A4" s="9" t="s">
        <v>22</v>
      </c>
      <c r="B4" s="10">
        <v>225</v>
      </c>
      <c r="C4" s="10">
        <v>24</v>
      </c>
      <c r="D4" s="10">
        <f t="shared" si="2"/>
        <v>5400</v>
      </c>
      <c r="E4" s="10">
        <f t="shared" si="3"/>
        <v>297000</v>
      </c>
      <c r="F4" s="10">
        <f t="shared" si="4"/>
        <v>2700</v>
      </c>
      <c r="G4" s="10">
        <f t="shared" si="5"/>
        <v>148500</v>
      </c>
      <c r="H4" s="10">
        <f t="shared" si="6"/>
        <v>2700</v>
      </c>
      <c r="I4" s="10">
        <f t="shared" si="6"/>
        <v>148500</v>
      </c>
      <c r="J4" s="10"/>
      <c r="K4" s="24" t="str">
        <f t="shared" si="0"/>
        <v>Grocery</v>
      </c>
      <c r="L4" s="25">
        <f t="shared" si="1"/>
        <v>51.92307692307692</v>
      </c>
      <c r="M4" s="25">
        <f t="shared" si="7"/>
        <v>225</v>
      </c>
      <c r="N4" s="25">
        <f t="shared" si="8"/>
        <v>2855.7692307692305</v>
      </c>
      <c r="O4" s="25">
        <f t="shared" si="9"/>
        <v>12375</v>
      </c>
      <c r="P4" s="25">
        <f>N7</f>
        <v>1269.2307692307693</v>
      </c>
      <c r="Q4" s="24">
        <f t="shared" si="10"/>
        <v>66000</v>
      </c>
      <c r="S4" s="15" t="s">
        <v>23</v>
      </c>
      <c r="T4" s="16">
        <f>T3*V2</f>
        <v>2745600</v>
      </c>
      <c r="U4" s="11" t="s">
        <v>24</v>
      </c>
      <c r="V4" s="13">
        <f>52*20</f>
        <v>1040</v>
      </c>
      <c r="W4" s="14"/>
      <c r="X4" s="13"/>
      <c r="Y4" s="14"/>
    </row>
    <row r="5" spans="1:25" ht="15" thickBot="1" x14ac:dyDescent="0.35">
      <c r="A5" s="9" t="s">
        <v>25</v>
      </c>
      <c r="B5" s="10">
        <v>225</v>
      </c>
      <c r="C5" s="10">
        <v>24</v>
      </c>
      <c r="D5" s="10">
        <f t="shared" si="2"/>
        <v>5400</v>
      </c>
      <c r="E5" s="10">
        <f t="shared" si="3"/>
        <v>297000</v>
      </c>
      <c r="F5" s="10">
        <f t="shared" si="4"/>
        <v>2700</v>
      </c>
      <c r="G5" s="10">
        <f t="shared" si="5"/>
        <v>148500</v>
      </c>
      <c r="H5" s="10">
        <f t="shared" si="6"/>
        <v>2700</v>
      </c>
      <c r="I5" s="10">
        <f t="shared" si="6"/>
        <v>148500</v>
      </c>
      <c r="J5" s="10"/>
      <c r="K5" s="24" t="str">
        <f t="shared" si="0"/>
        <v>Eat out</v>
      </c>
      <c r="L5" s="25">
        <f t="shared" si="1"/>
        <v>51.92307692307692</v>
      </c>
      <c r="M5" s="25">
        <f t="shared" si="7"/>
        <v>225</v>
      </c>
      <c r="N5" s="25">
        <f t="shared" si="8"/>
        <v>2855.7692307692305</v>
      </c>
      <c r="O5" s="25">
        <f t="shared" si="9"/>
        <v>12375</v>
      </c>
      <c r="P5" s="25">
        <f>N10</f>
        <v>6346.1538461538466</v>
      </c>
      <c r="Q5" s="24">
        <f t="shared" si="10"/>
        <v>330000</v>
      </c>
      <c r="U5" s="15" t="s">
        <v>26</v>
      </c>
      <c r="V5" s="17">
        <v>24</v>
      </c>
      <c r="W5" s="18"/>
      <c r="X5" s="13"/>
      <c r="Y5" s="14"/>
    </row>
    <row r="6" spans="1:25" x14ac:dyDescent="0.3">
      <c r="A6" s="9" t="s">
        <v>27</v>
      </c>
      <c r="B6" s="10">
        <v>500</v>
      </c>
      <c r="C6" s="10">
        <v>4</v>
      </c>
      <c r="D6" s="10">
        <f t="shared" si="2"/>
        <v>2000</v>
      </c>
      <c r="E6" s="10">
        <f t="shared" si="3"/>
        <v>110000</v>
      </c>
      <c r="F6" s="10">
        <f t="shared" si="4"/>
        <v>1000</v>
      </c>
      <c r="G6" s="10">
        <f t="shared" si="5"/>
        <v>55000</v>
      </c>
      <c r="H6" s="10">
        <f t="shared" si="6"/>
        <v>1000</v>
      </c>
      <c r="I6" s="10">
        <f t="shared" si="6"/>
        <v>55000</v>
      </c>
      <c r="J6" s="10"/>
      <c r="K6" s="24" t="str">
        <f t="shared" si="0"/>
        <v>Clothes</v>
      </c>
      <c r="L6" s="25">
        <f t="shared" si="1"/>
        <v>19.23076923076923</v>
      </c>
      <c r="M6" s="25">
        <f t="shared" si="7"/>
        <v>83.333333333333329</v>
      </c>
      <c r="N6" s="25">
        <f t="shared" si="8"/>
        <v>1057.6923076923076</v>
      </c>
      <c r="O6" s="25">
        <f t="shared" si="9"/>
        <v>4583.333333333333</v>
      </c>
      <c r="P6" s="24">
        <v>0</v>
      </c>
      <c r="Q6" s="24">
        <f t="shared" si="10"/>
        <v>0</v>
      </c>
    </row>
    <row r="7" spans="1:25" x14ac:dyDescent="0.3">
      <c r="A7" s="9" t="s">
        <v>28</v>
      </c>
      <c r="B7" s="10">
        <v>100</v>
      </c>
      <c r="C7" s="10">
        <v>24</v>
      </c>
      <c r="D7" s="10">
        <f t="shared" si="2"/>
        <v>2400</v>
      </c>
      <c r="E7" s="10">
        <f t="shared" si="3"/>
        <v>132000</v>
      </c>
      <c r="F7" s="10">
        <f t="shared" si="4"/>
        <v>1200</v>
      </c>
      <c r="G7" s="10">
        <f t="shared" si="5"/>
        <v>66000</v>
      </c>
      <c r="H7" s="10">
        <f t="shared" si="6"/>
        <v>1200</v>
      </c>
      <c r="I7" s="10">
        <f t="shared" si="6"/>
        <v>66000</v>
      </c>
      <c r="J7" s="10"/>
      <c r="K7" s="24" t="str">
        <f t="shared" si="0"/>
        <v>Travel</v>
      </c>
      <c r="L7" s="25">
        <f t="shared" si="1"/>
        <v>23.076923076923077</v>
      </c>
      <c r="M7" s="25">
        <f t="shared" si="7"/>
        <v>100</v>
      </c>
      <c r="N7" s="25">
        <f t="shared" si="8"/>
        <v>1269.2307692307693</v>
      </c>
      <c r="O7" s="25">
        <f t="shared" si="9"/>
        <v>5500</v>
      </c>
      <c r="P7" s="24">
        <v>0</v>
      </c>
      <c r="Q7" s="24">
        <f t="shared" si="10"/>
        <v>0</v>
      </c>
    </row>
    <row r="8" spans="1:25" x14ac:dyDescent="0.3">
      <c r="A8" s="9" t="s">
        <v>29</v>
      </c>
      <c r="B8" s="10">
        <v>1000</v>
      </c>
      <c r="C8" s="10">
        <v>4</v>
      </c>
      <c r="D8" s="10">
        <f t="shared" si="2"/>
        <v>4000</v>
      </c>
      <c r="E8" s="10">
        <f t="shared" si="3"/>
        <v>220000</v>
      </c>
      <c r="F8" s="10">
        <f t="shared" si="4"/>
        <v>2000</v>
      </c>
      <c r="G8" s="10">
        <f t="shared" si="5"/>
        <v>110000</v>
      </c>
      <c r="H8" s="10">
        <f t="shared" si="6"/>
        <v>2000</v>
      </c>
      <c r="I8" s="10">
        <f t="shared" si="6"/>
        <v>110000</v>
      </c>
      <c r="J8" s="10"/>
      <c r="K8" s="24" t="str">
        <f t="shared" si="0"/>
        <v>Flight</v>
      </c>
      <c r="L8" s="25">
        <f t="shared" si="1"/>
        <v>38.46153846153846</v>
      </c>
      <c r="M8" s="25">
        <f t="shared" si="7"/>
        <v>166.66666666666666</v>
      </c>
      <c r="N8" s="25">
        <f t="shared" si="8"/>
        <v>2115.3846153846152</v>
      </c>
      <c r="O8" s="25">
        <f t="shared" si="9"/>
        <v>9166.6666666666661</v>
      </c>
      <c r="P8" s="24">
        <v>0</v>
      </c>
      <c r="Q8" s="24">
        <f t="shared" si="10"/>
        <v>0</v>
      </c>
    </row>
    <row r="9" spans="1:25" x14ac:dyDescent="0.3">
      <c r="A9" s="9" t="s">
        <v>30</v>
      </c>
      <c r="B9" s="10">
        <v>659</v>
      </c>
      <c r="C9" s="10">
        <v>1</v>
      </c>
      <c r="D9" s="10">
        <f t="shared" si="2"/>
        <v>659</v>
      </c>
      <c r="E9" s="10">
        <f t="shared" si="3"/>
        <v>36245</v>
      </c>
      <c r="F9" s="10">
        <f t="shared" si="4"/>
        <v>329.5</v>
      </c>
      <c r="G9" s="10">
        <f t="shared" si="5"/>
        <v>18122.5</v>
      </c>
      <c r="H9" s="10">
        <f t="shared" si="6"/>
        <v>329.5</v>
      </c>
      <c r="I9" s="10">
        <f t="shared" si="6"/>
        <v>18122.5</v>
      </c>
      <c r="J9" s="10"/>
      <c r="K9" s="24" t="str">
        <f t="shared" si="0"/>
        <v>Visa charges</v>
      </c>
      <c r="L9" s="25">
        <f t="shared" si="1"/>
        <v>6.3365384615384617</v>
      </c>
      <c r="M9" s="25">
        <f t="shared" si="7"/>
        <v>27.458333333333332</v>
      </c>
      <c r="N9" s="25">
        <f t="shared" si="8"/>
        <v>348.50961538461542</v>
      </c>
      <c r="O9" s="25">
        <f t="shared" si="9"/>
        <v>1510.2083333333333</v>
      </c>
      <c r="P9" s="24">
        <v>0</v>
      </c>
      <c r="Q9" s="24">
        <f t="shared" si="10"/>
        <v>0</v>
      </c>
    </row>
    <row r="10" spans="1:25" ht="15" thickBot="1" x14ac:dyDescent="0.35">
      <c r="A10" s="9" t="s">
        <v>31</v>
      </c>
      <c r="B10" s="10">
        <v>500</v>
      </c>
      <c r="C10" s="10">
        <v>24</v>
      </c>
      <c r="D10" s="10">
        <f t="shared" si="2"/>
        <v>12000</v>
      </c>
      <c r="E10" s="10">
        <f t="shared" si="3"/>
        <v>660000</v>
      </c>
      <c r="F10" s="10">
        <f t="shared" si="4"/>
        <v>6000</v>
      </c>
      <c r="G10" s="10">
        <f t="shared" si="5"/>
        <v>330000</v>
      </c>
      <c r="H10" s="10">
        <f t="shared" si="6"/>
        <v>6000</v>
      </c>
      <c r="I10" s="10">
        <f t="shared" si="6"/>
        <v>330000</v>
      </c>
      <c r="J10" s="10"/>
      <c r="K10" s="24" t="str">
        <f t="shared" si="0"/>
        <v>Miscellaneous</v>
      </c>
      <c r="L10" s="25">
        <f t="shared" si="1"/>
        <v>115.38461538461539</v>
      </c>
      <c r="M10" s="25">
        <f t="shared" si="7"/>
        <v>500</v>
      </c>
      <c r="N10" s="25">
        <f t="shared" si="8"/>
        <v>6346.1538461538466</v>
      </c>
      <c r="O10" s="25">
        <f t="shared" si="9"/>
        <v>27500</v>
      </c>
      <c r="P10" s="24">
        <v>0</v>
      </c>
      <c r="Q10" s="24">
        <f t="shared" si="10"/>
        <v>0</v>
      </c>
    </row>
    <row r="11" spans="1:25" ht="15" thickBot="1" x14ac:dyDescent="0.35">
      <c r="A11" s="19" t="s">
        <v>32</v>
      </c>
      <c r="B11" s="20">
        <f>SUM(B2:B10)</f>
        <v>19059</v>
      </c>
      <c r="C11" s="21"/>
      <c r="D11" s="21">
        <f t="shared" ref="D11:I11" si="11">SUM(D2:D10)</f>
        <v>120259</v>
      </c>
      <c r="E11" s="21">
        <f t="shared" si="11"/>
        <v>6614245</v>
      </c>
      <c r="F11" s="21">
        <f t="shared" si="11"/>
        <v>60129.5</v>
      </c>
      <c r="G11" s="21">
        <f t="shared" si="11"/>
        <v>3307122.5</v>
      </c>
      <c r="H11" s="21">
        <f t="shared" si="11"/>
        <v>60129.5</v>
      </c>
      <c r="I11" s="21">
        <f t="shared" si="11"/>
        <v>3307122.5</v>
      </c>
      <c r="J11" s="10"/>
      <c r="K11" s="22" t="str">
        <f t="shared" si="0"/>
        <v>Total</v>
      </c>
      <c r="L11" s="23">
        <f t="shared" ref="L11:Q11" si="12">SUM(L2:L10)</f>
        <v>1156.3365384615388</v>
      </c>
      <c r="M11" s="23">
        <f t="shared" si="12"/>
        <v>5010.7916666666661</v>
      </c>
      <c r="N11" s="23">
        <f t="shared" si="12"/>
        <v>63598.509615384617</v>
      </c>
      <c r="O11" s="23">
        <f t="shared" si="12"/>
        <v>275593.54166666663</v>
      </c>
      <c r="P11" s="22">
        <f t="shared" si="12"/>
        <v>60076.923076923071</v>
      </c>
      <c r="Q11" s="22">
        <f t="shared" si="12"/>
        <v>3124000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8FF7-063E-4CF8-B7D8-1B78C97B1BA0}">
  <sheetPr codeName="Sheet10">
    <tabColor rgb="FFFF0000"/>
  </sheetPr>
  <dimension ref="A1:C48"/>
  <sheetViews>
    <sheetView workbookViewId="0">
      <selection activeCell="D2" sqref="D2"/>
    </sheetView>
  </sheetViews>
  <sheetFormatPr defaultColWidth="22" defaultRowHeight="25.95" customHeight="1" x14ac:dyDescent="0.3"/>
  <sheetData>
    <row r="1" spans="1:3" ht="25.95" customHeight="1" thickBot="1" x14ac:dyDescent="0.35">
      <c r="A1" s="26" t="s">
        <v>0</v>
      </c>
      <c r="B1" s="27" t="s">
        <v>35</v>
      </c>
      <c r="C1" s="92" t="s">
        <v>36</v>
      </c>
    </row>
    <row r="2" spans="1:3" ht="25.95" customHeight="1" x14ac:dyDescent="0.3">
      <c r="A2" s="28" t="s">
        <v>37</v>
      </c>
      <c r="B2" s="36">
        <v>2500</v>
      </c>
      <c r="C2" s="91">
        <v>44550</v>
      </c>
    </row>
    <row r="3" spans="1:3" ht="25.95" customHeight="1" x14ac:dyDescent="0.3">
      <c r="A3" s="30" t="s">
        <v>38</v>
      </c>
      <c r="B3" s="35">
        <v>9000</v>
      </c>
      <c r="C3" s="91">
        <v>44553</v>
      </c>
    </row>
    <row r="4" spans="1:3" ht="25.95" customHeight="1" x14ac:dyDescent="0.3">
      <c r="A4" s="31" t="s">
        <v>39</v>
      </c>
      <c r="B4" s="34">
        <v>14700</v>
      </c>
      <c r="C4" s="93">
        <v>44605</v>
      </c>
    </row>
    <row r="5" spans="1:3" ht="25.95" customHeight="1" x14ac:dyDescent="0.3">
      <c r="A5" s="29" t="s">
        <v>40</v>
      </c>
      <c r="B5" s="29">
        <v>150</v>
      </c>
      <c r="C5" s="94">
        <v>44848</v>
      </c>
    </row>
    <row r="6" spans="1:3" ht="25.95" customHeight="1" x14ac:dyDescent="0.3">
      <c r="A6" s="29" t="s">
        <v>41</v>
      </c>
      <c r="B6" s="29">
        <v>1000</v>
      </c>
      <c r="C6" s="94">
        <v>44849</v>
      </c>
    </row>
    <row r="7" spans="1:3" ht="25.95" customHeight="1" x14ac:dyDescent="0.3">
      <c r="A7" s="29" t="s">
        <v>42</v>
      </c>
      <c r="B7" s="29">
        <v>1500</v>
      </c>
      <c r="C7" s="94">
        <v>44850</v>
      </c>
    </row>
    <row r="8" spans="1:3" ht="25.95" customHeight="1" x14ac:dyDescent="0.3">
      <c r="A8" s="29" t="s">
        <v>43</v>
      </c>
      <c r="B8" s="29">
        <v>2000</v>
      </c>
      <c r="C8" s="94">
        <v>44860</v>
      </c>
    </row>
    <row r="9" spans="1:3" ht="25.95" customHeight="1" x14ac:dyDescent="0.3">
      <c r="A9" s="29" t="s">
        <v>44</v>
      </c>
      <c r="B9" s="29">
        <v>4355</v>
      </c>
      <c r="C9" s="94">
        <v>44860</v>
      </c>
    </row>
    <row r="10" spans="1:3" ht="25.95" customHeight="1" x14ac:dyDescent="0.3">
      <c r="A10" s="29" t="s">
        <v>45</v>
      </c>
      <c r="B10" s="29">
        <v>500</v>
      </c>
      <c r="C10" s="94">
        <v>44867</v>
      </c>
    </row>
    <row r="11" spans="1:3" ht="25.95" customHeight="1" x14ac:dyDescent="0.3">
      <c r="A11" s="29" t="s">
        <v>46</v>
      </c>
      <c r="B11" s="29">
        <v>6000</v>
      </c>
      <c r="C11" s="94">
        <v>44868</v>
      </c>
    </row>
    <row r="12" spans="1:3" ht="25.95" customHeight="1" x14ac:dyDescent="0.3">
      <c r="A12" s="29" t="s">
        <v>45</v>
      </c>
      <c r="B12" s="29">
        <v>500</v>
      </c>
      <c r="C12" s="94">
        <v>44878</v>
      </c>
    </row>
    <row r="13" spans="1:3" ht="25.95" customHeight="1" x14ac:dyDescent="0.3">
      <c r="A13" s="29" t="s">
        <v>47</v>
      </c>
      <c r="B13" s="29">
        <v>1720</v>
      </c>
      <c r="C13" s="94">
        <v>44878</v>
      </c>
    </row>
    <row r="14" spans="1:3" ht="25.95" customHeight="1" x14ac:dyDescent="0.3">
      <c r="A14" s="29" t="s">
        <v>48</v>
      </c>
      <c r="B14" s="29">
        <v>8000</v>
      </c>
      <c r="C14" s="94">
        <v>44889</v>
      </c>
    </row>
    <row r="15" spans="1:3" ht="25.95" customHeight="1" x14ac:dyDescent="0.3">
      <c r="A15" s="29" t="s">
        <v>29</v>
      </c>
      <c r="B15" s="29">
        <v>57120</v>
      </c>
      <c r="C15" s="94">
        <v>44889</v>
      </c>
    </row>
    <row r="16" spans="1:3" ht="25.95" customHeight="1" x14ac:dyDescent="0.3">
      <c r="A16" s="29" t="s">
        <v>49</v>
      </c>
      <c r="B16" s="29">
        <v>4000</v>
      </c>
      <c r="C16" s="94">
        <v>44890</v>
      </c>
    </row>
    <row r="17" spans="1:3" ht="25.95" customHeight="1" x14ac:dyDescent="0.3">
      <c r="A17" s="29" t="s">
        <v>50</v>
      </c>
      <c r="B17" s="29">
        <v>554</v>
      </c>
      <c r="C17" s="94">
        <v>44892</v>
      </c>
    </row>
    <row r="18" spans="1:3" ht="25.95" customHeight="1" x14ac:dyDescent="0.3">
      <c r="A18" s="29" t="s">
        <v>51</v>
      </c>
      <c r="B18" s="29">
        <v>423</v>
      </c>
      <c r="C18" s="94">
        <v>44892</v>
      </c>
    </row>
    <row r="19" spans="1:3" ht="25.95" customHeight="1" x14ac:dyDescent="0.3">
      <c r="A19" s="29" t="s">
        <v>49</v>
      </c>
      <c r="B19" s="29">
        <v>1800</v>
      </c>
      <c r="C19" s="94">
        <v>44892</v>
      </c>
    </row>
    <row r="20" spans="1:3" ht="25.95" customHeight="1" x14ac:dyDescent="0.3">
      <c r="A20" s="29" t="s">
        <v>52</v>
      </c>
      <c r="B20" s="29">
        <v>3980</v>
      </c>
      <c r="C20" s="94">
        <v>44897</v>
      </c>
    </row>
    <row r="21" spans="1:3" ht="25.95" customHeight="1" x14ac:dyDescent="0.3">
      <c r="A21" s="29" t="s">
        <v>53</v>
      </c>
      <c r="B21" s="29">
        <v>1300</v>
      </c>
      <c r="C21" s="94">
        <v>44904</v>
      </c>
    </row>
    <row r="22" spans="1:3" ht="25.95" customHeight="1" x14ac:dyDescent="0.3">
      <c r="A22" s="29" t="s">
        <v>54</v>
      </c>
      <c r="B22" s="29">
        <v>380</v>
      </c>
      <c r="C22" s="94">
        <v>44908</v>
      </c>
    </row>
    <row r="23" spans="1:3" ht="25.95" customHeight="1" x14ac:dyDescent="0.3">
      <c r="A23" s="29" t="s">
        <v>55</v>
      </c>
      <c r="B23" s="29">
        <v>2849</v>
      </c>
      <c r="C23" s="94">
        <v>44913</v>
      </c>
    </row>
    <row r="24" spans="1:3" ht="25.95" customHeight="1" x14ac:dyDescent="0.3">
      <c r="A24" s="29" t="s">
        <v>56</v>
      </c>
      <c r="B24" s="29">
        <v>7898</v>
      </c>
      <c r="C24" s="94">
        <v>44913</v>
      </c>
    </row>
    <row r="25" spans="1:3" ht="25.95" customHeight="1" x14ac:dyDescent="0.3">
      <c r="A25" s="29" t="s">
        <v>57</v>
      </c>
      <c r="B25" s="29">
        <v>56500</v>
      </c>
      <c r="C25" s="94">
        <v>44914</v>
      </c>
    </row>
    <row r="26" spans="1:3" ht="25.95" customHeight="1" x14ac:dyDescent="0.3">
      <c r="A26" s="29" t="s">
        <v>58</v>
      </c>
      <c r="B26" s="29">
        <v>5000</v>
      </c>
      <c r="C26" s="94">
        <v>44914</v>
      </c>
    </row>
    <row r="27" spans="1:3" ht="25.95" customHeight="1" x14ac:dyDescent="0.3">
      <c r="A27" s="29" t="s">
        <v>59</v>
      </c>
      <c r="B27" s="29">
        <v>1600</v>
      </c>
      <c r="C27" s="94">
        <v>44915</v>
      </c>
    </row>
    <row r="28" spans="1:3" ht="25.95" customHeight="1" x14ac:dyDescent="0.3">
      <c r="A28" s="29" t="s">
        <v>59</v>
      </c>
      <c r="B28" s="29">
        <v>700</v>
      </c>
      <c r="C28" s="94">
        <v>44916</v>
      </c>
    </row>
    <row r="29" spans="1:3" ht="25.95" customHeight="1" x14ac:dyDescent="0.3">
      <c r="A29" s="29" t="s">
        <v>59</v>
      </c>
      <c r="B29" s="29">
        <v>1650</v>
      </c>
      <c r="C29" s="94">
        <v>44917</v>
      </c>
    </row>
    <row r="30" spans="1:3" ht="25.95" customHeight="1" x14ac:dyDescent="0.3">
      <c r="A30" s="29" t="s">
        <v>60</v>
      </c>
      <c r="B30" s="29">
        <v>2600</v>
      </c>
      <c r="C30" s="94">
        <v>44918</v>
      </c>
    </row>
    <row r="31" spans="1:3" ht="25.95" customHeight="1" x14ac:dyDescent="0.3">
      <c r="A31" s="29" t="s">
        <v>61</v>
      </c>
      <c r="B31" s="29">
        <v>2579</v>
      </c>
      <c r="C31" s="94">
        <v>44919</v>
      </c>
    </row>
    <row r="32" spans="1:3" ht="25.95" customHeight="1" x14ac:dyDescent="0.3">
      <c r="A32" s="29" t="s">
        <v>62</v>
      </c>
      <c r="B32" s="29">
        <v>8404</v>
      </c>
      <c r="C32" s="94">
        <v>44920</v>
      </c>
    </row>
    <row r="33" spans="1:3" ht="25.95" customHeight="1" x14ac:dyDescent="0.3">
      <c r="A33" s="29" t="s">
        <v>63</v>
      </c>
      <c r="B33" s="29">
        <v>3700</v>
      </c>
      <c r="C33" s="94">
        <v>44921</v>
      </c>
    </row>
    <row r="34" spans="1:3" ht="25.95" customHeight="1" x14ac:dyDescent="0.3">
      <c r="A34" s="29" t="s">
        <v>64</v>
      </c>
      <c r="B34" s="29">
        <v>800</v>
      </c>
      <c r="C34" s="94">
        <v>44924</v>
      </c>
    </row>
    <row r="35" spans="1:3" ht="25.95" customHeight="1" x14ac:dyDescent="0.3">
      <c r="A35" s="29" t="s">
        <v>59</v>
      </c>
      <c r="B35" s="29">
        <v>200</v>
      </c>
      <c r="C35" s="94">
        <v>44925</v>
      </c>
    </row>
    <row r="36" spans="1:3" ht="25.95" customHeight="1" x14ac:dyDescent="0.3">
      <c r="A36" s="29" t="s">
        <v>45</v>
      </c>
      <c r="B36" s="29">
        <v>1000</v>
      </c>
      <c r="C36" s="94">
        <v>44927</v>
      </c>
    </row>
    <row r="37" spans="1:3" ht="25.95" customHeight="1" x14ac:dyDescent="0.3">
      <c r="A37" s="29" t="s">
        <v>65</v>
      </c>
      <c r="B37" s="29">
        <v>1700</v>
      </c>
      <c r="C37" s="94">
        <v>44929</v>
      </c>
    </row>
    <row r="38" spans="1:3" ht="25.95" customHeight="1" x14ac:dyDescent="0.3">
      <c r="A38" s="29" t="s">
        <v>66</v>
      </c>
      <c r="B38" s="29">
        <v>730</v>
      </c>
      <c r="C38" s="94">
        <v>44939</v>
      </c>
    </row>
    <row r="39" spans="1:3" ht="25.95" customHeight="1" x14ac:dyDescent="0.3">
      <c r="A39" s="29" t="s">
        <v>67</v>
      </c>
      <c r="B39" s="29">
        <v>700</v>
      </c>
      <c r="C39" s="94">
        <v>44939</v>
      </c>
    </row>
    <row r="40" spans="1:3" ht="25.95" customHeight="1" x14ac:dyDescent="0.3">
      <c r="A40" s="29" t="s">
        <v>68</v>
      </c>
      <c r="B40" s="29">
        <v>720</v>
      </c>
      <c r="C40" s="94">
        <v>44944</v>
      </c>
    </row>
    <row r="41" spans="1:3" ht="25.95" customHeight="1" x14ac:dyDescent="0.3">
      <c r="A41" s="29" t="s">
        <v>69</v>
      </c>
      <c r="B41" s="29">
        <v>290</v>
      </c>
      <c r="C41" s="94">
        <v>44945</v>
      </c>
    </row>
    <row r="42" spans="1:3" ht="25.95" customHeight="1" x14ac:dyDescent="0.3">
      <c r="A42" s="29" t="s">
        <v>70</v>
      </c>
      <c r="B42" s="29">
        <v>600</v>
      </c>
      <c r="C42" s="94">
        <v>44945</v>
      </c>
    </row>
    <row r="43" spans="1:3" ht="25.95" customHeight="1" x14ac:dyDescent="0.3">
      <c r="A43" s="29" t="s">
        <v>71</v>
      </c>
      <c r="B43" s="29">
        <v>48394</v>
      </c>
      <c r="C43" s="94">
        <v>44960</v>
      </c>
    </row>
    <row r="44" spans="1:3" ht="25.95" customHeight="1" x14ac:dyDescent="0.3">
      <c r="A44" s="29" t="s">
        <v>45</v>
      </c>
      <c r="B44" s="29">
        <v>3000</v>
      </c>
      <c r="C44" s="94">
        <v>44962</v>
      </c>
    </row>
    <row r="45" spans="1:3" ht="25.95" customHeight="1" x14ac:dyDescent="0.3">
      <c r="A45" s="29" t="s">
        <v>72</v>
      </c>
      <c r="B45" s="29">
        <v>1086</v>
      </c>
      <c r="C45" s="94">
        <v>44967</v>
      </c>
    </row>
    <row r="46" spans="1:3" ht="25.95" customHeight="1" x14ac:dyDescent="0.3">
      <c r="A46" s="29" t="s">
        <v>73</v>
      </c>
      <c r="B46" s="29">
        <v>1400</v>
      </c>
      <c r="C46" s="94">
        <v>44969</v>
      </c>
    </row>
    <row r="47" spans="1:3" ht="24" customHeight="1" x14ac:dyDescent="0.3">
      <c r="A47" s="29" t="s">
        <v>74</v>
      </c>
      <c r="B47" s="29">
        <v>36124</v>
      </c>
      <c r="C47" s="94">
        <v>44879</v>
      </c>
    </row>
    <row r="48" spans="1:3" ht="25.95" customHeight="1" x14ac:dyDescent="0.3">
      <c r="A48" s="37" t="s">
        <v>75</v>
      </c>
      <c r="B48">
        <f>SUM(B2:B47)</f>
        <v>311706</v>
      </c>
    </row>
  </sheetData>
  <dataValidations count="2">
    <dataValidation type="list" allowBlank="1" showInputMessage="1" showErrorMessage="1" sqref="A1:A4" xr:uid="{C9F0C7FA-04A8-4E54-BD1E-3D468CE68908}">
      <formula1>"Rent, Food(Dominos), Food(McD), Food(Hungry Jacks), Food(7-Eleven), Food(indian), food(others), optus, vodafone, grocery(woolworths), grocery(coles), grocery(Aldi), Grocery(indian), Shopping(Kmart), Shopping(BigW),Shopping(others), Travel, Misc."</formula1>
    </dataValidation>
    <dataValidation type="list" errorStyle="warning" allowBlank="1" showInputMessage="1" showErrorMessage="1" error="Value not in the list. Continue Anyways" sqref="A5:A29 A31:A47" xr:uid="{5FA58EF0-DFFD-4C5F-AB86-BDAEF60A791F}">
      <formula1>"Rent, Eat out, optus, vodafone, Grocery, Shopping, Loan Int.,Travel, Misc"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14070-2E39-4D22-8D57-58FF5ACD8CA1}">
  <sheetPr codeName="Sheet5">
    <tabColor theme="6"/>
  </sheetPr>
  <dimension ref="A1:XFD16"/>
  <sheetViews>
    <sheetView topLeftCell="A3" workbookViewId="0">
      <selection activeCell="H7" sqref="H7"/>
    </sheetView>
  </sheetViews>
  <sheetFormatPr defaultColWidth="20.109375" defaultRowHeight="32.4" customHeight="1" x14ac:dyDescent="0.3"/>
  <sheetData>
    <row r="1" spans="1:7 16384:16384" ht="32.4" customHeight="1" x14ac:dyDescent="0.3">
      <c r="A1" s="85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76</v>
      </c>
      <c r="G1" s="90" t="s">
        <v>77</v>
      </c>
    </row>
    <row r="2" spans="1:7 16384:16384" ht="32.4" customHeight="1" x14ac:dyDescent="0.3">
      <c r="A2" s="22" t="s">
        <v>78</v>
      </c>
      <c r="B2" s="22">
        <v>0</v>
      </c>
      <c r="C2" s="22">
        <v>0</v>
      </c>
      <c r="D2" s="22">
        <v>11517</v>
      </c>
      <c r="E2" s="84">
        <v>44841</v>
      </c>
      <c r="F2" s="22">
        <v>2022</v>
      </c>
      <c r="G2" s="95" t="s">
        <v>79</v>
      </c>
    </row>
    <row r="3" spans="1:7 16384:16384" ht="32.4" customHeight="1" x14ac:dyDescent="0.3">
      <c r="A3" s="22" t="s">
        <v>80</v>
      </c>
      <c r="B3" s="22">
        <v>0</v>
      </c>
      <c r="C3" s="22">
        <v>54.106000000000002</v>
      </c>
      <c r="D3" s="22">
        <v>78345</v>
      </c>
      <c r="E3" s="84">
        <v>44841</v>
      </c>
      <c r="F3" s="22">
        <v>2022</v>
      </c>
      <c r="G3" s="95" t="s">
        <v>79</v>
      </c>
    </row>
    <row r="4" spans="1:7 16384:16384" ht="32.4" customHeight="1" x14ac:dyDescent="0.3">
      <c r="A4" s="22" t="s">
        <v>81</v>
      </c>
      <c r="B4" s="22">
        <v>0</v>
      </c>
      <c r="C4" s="22">
        <v>54.106000000000002</v>
      </c>
      <c r="D4" s="22">
        <v>731068</v>
      </c>
      <c r="E4" s="84">
        <v>44841</v>
      </c>
      <c r="F4" s="22">
        <v>2022</v>
      </c>
      <c r="G4" s="95" t="s">
        <v>79</v>
      </c>
    </row>
    <row r="5" spans="1:7 16384:16384" ht="32.4" customHeight="1" x14ac:dyDescent="0.3">
      <c r="A5" s="22" t="s">
        <v>81</v>
      </c>
      <c r="B5" s="22">
        <v>0</v>
      </c>
      <c r="C5" s="22">
        <v>54.106000000000002</v>
      </c>
      <c r="D5" s="22">
        <v>100000</v>
      </c>
      <c r="E5" s="84">
        <v>45572</v>
      </c>
      <c r="F5" s="22">
        <v>2022</v>
      </c>
      <c r="G5" s="95" t="s">
        <v>82</v>
      </c>
    </row>
    <row r="6" spans="1:7 16384:16384" s="10" customFormat="1" ht="34.799999999999997" customHeight="1" x14ac:dyDescent="0.3">
      <c r="A6" s="121" t="s">
        <v>83</v>
      </c>
      <c r="B6" s="121">
        <v>163.19999999999999</v>
      </c>
      <c r="C6" s="121">
        <v>0</v>
      </c>
      <c r="D6" s="121">
        <v>0</v>
      </c>
      <c r="E6" s="122">
        <v>45227</v>
      </c>
      <c r="F6" s="10">
        <v>2023</v>
      </c>
      <c r="G6" s="83" t="s">
        <v>84</v>
      </c>
    </row>
    <row r="7" spans="1:7 16384:16384" s="41" customFormat="1" ht="32.4" customHeight="1" x14ac:dyDescent="0.3">
      <c r="A7" s="22" t="s">
        <v>81</v>
      </c>
      <c r="B7" s="22">
        <v>2522.8000000000002</v>
      </c>
      <c r="C7" s="22">
        <v>0</v>
      </c>
      <c r="D7" s="22">
        <v>0</v>
      </c>
      <c r="E7" s="84">
        <v>45104</v>
      </c>
      <c r="F7" s="22">
        <v>2023</v>
      </c>
      <c r="G7" s="95" t="s">
        <v>84</v>
      </c>
    </row>
    <row r="8" spans="1:7 16384:16384" s="83" customFormat="1" ht="32.4" customHeight="1" x14ac:dyDescent="0.3">
      <c r="A8" s="22" t="s">
        <v>81</v>
      </c>
      <c r="B8" s="22">
        <v>0</v>
      </c>
      <c r="C8" s="22">
        <v>55.22</v>
      </c>
      <c r="D8" s="22">
        <v>467937</v>
      </c>
      <c r="E8" s="84">
        <v>45110</v>
      </c>
      <c r="F8" s="22">
        <v>2023</v>
      </c>
      <c r="G8" s="95" t="s">
        <v>79</v>
      </c>
    </row>
    <row r="9" spans="1:7 16384:16384" s="83" customFormat="1" ht="32.4" customHeight="1" x14ac:dyDescent="0.3">
      <c r="A9" s="22" t="s">
        <v>81</v>
      </c>
      <c r="B9" s="22">
        <v>0</v>
      </c>
      <c r="C9" s="22">
        <v>55.22</v>
      </c>
      <c r="D9" s="22">
        <v>250000</v>
      </c>
      <c r="E9" s="84">
        <v>45110</v>
      </c>
      <c r="F9" s="22">
        <v>2023</v>
      </c>
      <c r="G9" s="95" t="s">
        <v>82</v>
      </c>
    </row>
    <row r="10" spans="1:7 16384:16384" s="83" customFormat="1" ht="32.4" customHeight="1" x14ac:dyDescent="0.3">
      <c r="A10" s="22" t="s">
        <v>81</v>
      </c>
      <c r="B10" s="22">
        <v>5549</v>
      </c>
      <c r="C10" s="22">
        <v>0</v>
      </c>
      <c r="D10" s="22">
        <v>0</v>
      </c>
      <c r="E10" s="84">
        <v>45354</v>
      </c>
      <c r="F10" s="22">
        <v>2024</v>
      </c>
      <c r="G10" s="95" t="s">
        <v>84</v>
      </c>
    </row>
    <row r="11" spans="1:7 16384:16384" s="83" customFormat="1" ht="32.4" customHeight="1" x14ac:dyDescent="0.3">
      <c r="A11" s="22" t="s">
        <v>81</v>
      </c>
      <c r="B11" s="22">
        <v>0</v>
      </c>
      <c r="C11" s="22">
        <v>55.54</v>
      </c>
      <c r="D11" s="22">
        <v>450000</v>
      </c>
      <c r="E11" s="84">
        <v>45364</v>
      </c>
      <c r="F11" s="22">
        <v>2024</v>
      </c>
      <c r="G11" s="95" t="s">
        <v>79</v>
      </c>
    </row>
    <row r="12" spans="1:7 16384:16384" s="83" customFormat="1" ht="32.4" customHeight="1" x14ac:dyDescent="0.3">
      <c r="A12" s="22" t="s">
        <v>81</v>
      </c>
      <c r="B12" s="22">
        <v>0</v>
      </c>
      <c r="C12" s="22">
        <v>55.54</v>
      </c>
      <c r="D12" s="22">
        <v>126048</v>
      </c>
      <c r="E12" s="84">
        <v>45364</v>
      </c>
      <c r="F12" s="22">
        <v>2024</v>
      </c>
      <c r="G12" s="95" t="s">
        <v>82</v>
      </c>
    </row>
    <row r="13" spans="1:7 16384:16384" s="83" customFormat="1" ht="32.4" customHeight="1" x14ac:dyDescent="0.3">
      <c r="A13" s="22" t="s">
        <v>81</v>
      </c>
      <c r="B13" s="22">
        <v>2919</v>
      </c>
      <c r="C13" s="22">
        <v>0</v>
      </c>
      <c r="D13" s="22">
        <v>0</v>
      </c>
      <c r="E13" s="84">
        <v>45509</v>
      </c>
      <c r="F13" s="22">
        <v>2024</v>
      </c>
      <c r="G13" s="95" t="s">
        <v>84</v>
      </c>
    </row>
    <row r="14" spans="1:7 16384:16384" s="83" customFormat="1" ht="32.4" customHeight="1" x14ac:dyDescent="0.3">
      <c r="A14" s="22" t="s">
        <v>81</v>
      </c>
      <c r="B14" s="22">
        <v>550</v>
      </c>
      <c r="C14" s="22">
        <v>0</v>
      </c>
      <c r="D14" s="22">
        <v>0</v>
      </c>
      <c r="E14" s="84">
        <v>45532</v>
      </c>
      <c r="F14" s="22">
        <v>2024</v>
      </c>
      <c r="G14" s="95" t="s">
        <v>84</v>
      </c>
    </row>
    <row r="15" spans="1:7 16384:16384" s="83" customFormat="1" ht="32.4" customHeight="1" x14ac:dyDescent="0.3">
      <c r="A15" s="22" t="s">
        <v>81</v>
      </c>
      <c r="B15" s="22">
        <v>0</v>
      </c>
      <c r="C15" s="22">
        <v>57.5</v>
      </c>
      <c r="D15" s="22">
        <v>487560</v>
      </c>
      <c r="E15" s="84">
        <v>45538</v>
      </c>
      <c r="F15" s="22">
        <v>2024</v>
      </c>
      <c r="G15" s="95" t="s">
        <v>137</v>
      </c>
    </row>
    <row r="16" spans="1:7 16384:16384" s="10" customFormat="1" ht="32.4" customHeight="1" x14ac:dyDescent="0.3">
      <c r="A16" s="22" t="s">
        <v>32</v>
      </c>
      <c r="B16" s="22">
        <f>SUM(B2:B15)</f>
        <v>11704</v>
      </c>
      <c r="C16" s="22"/>
      <c r="D16" s="22">
        <f>SUM(D1:D15)</f>
        <v>2702475</v>
      </c>
      <c r="E16" s="22"/>
      <c r="F16" s="22"/>
      <c r="XFD16" s="10">
        <f>SUM(B16:XFC16)</f>
        <v>2714179</v>
      </c>
    </row>
  </sheetData>
  <dataValidations count="1">
    <dataValidation type="list" allowBlank="1" showInputMessage="1" showErrorMessage="1" sqref="A1:A5 A7:A1048576" xr:uid="{6A026B75-AC1C-4C90-8AF6-CE12DBEB45BF}">
      <formula1>"Fees, Tax, OSHC"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0826-9847-496B-994D-C72573CCA08C}">
  <dimension ref="A1:B4"/>
  <sheetViews>
    <sheetView workbookViewId="0">
      <selection activeCell="H5" sqref="H5"/>
    </sheetView>
  </sheetViews>
  <sheetFormatPr defaultRowHeight="14.4" x14ac:dyDescent="0.3"/>
  <sheetData>
    <row r="1" spans="1:2" x14ac:dyDescent="0.3">
      <c r="A1" t="s">
        <v>0</v>
      </c>
      <c r="B1" t="s">
        <v>98</v>
      </c>
    </row>
    <row r="2" spans="1:2" x14ac:dyDescent="0.3">
      <c r="A2" t="s">
        <v>103</v>
      </c>
      <c r="B2">
        <f>'Shopping before'!B48</f>
        <v>311706</v>
      </c>
    </row>
    <row r="3" spans="1:2" x14ac:dyDescent="0.3">
      <c r="A3" t="s">
        <v>139</v>
      </c>
      <c r="B3">
        <f>SUMIF('Fees Payment'!G1:G15,"Fam",'Fees Payment'!D1:D15)</f>
        <v>1738867</v>
      </c>
    </row>
    <row r="4" spans="1:2" x14ac:dyDescent="0.3">
      <c r="A4" t="s">
        <v>45</v>
      </c>
      <c r="B4" t="e">
        <f>Tracker!#REF!</f>
        <v>#REF!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868B-D0B5-4D58-A96B-733786856F4A}">
  <sheetPr codeName="Sheet8">
    <tabColor rgb="FFC00000"/>
  </sheetPr>
  <dimension ref="A1:E24"/>
  <sheetViews>
    <sheetView zoomScale="89" workbookViewId="0">
      <selection activeCell="C17" sqref="C17"/>
    </sheetView>
  </sheetViews>
  <sheetFormatPr defaultColWidth="24.33203125" defaultRowHeight="31.2" customHeight="1" x14ac:dyDescent="0.3"/>
  <cols>
    <col min="1" max="16384" width="24.33203125" style="10"/>
  </cols>
  <sheetData>
    <row r="1" spans="1:5" ht="31.2" customHeight="1" x14ac:dyDescent="0.3">
      <c r="A1" s="10" t="s">
        <v>36</v>
      </c>
      <c r="B1" s="10" t="s">
        <v>21</v>
      </c>
    </row>
    <row r="2" spans="1:5" ht="31.2" customHeight="1" x14ac:dyDescent="0.3">
      <c r="A2" s="86">
        <v>44986</v>
      </c>
      <c r="B2" s="87">
        <v>897</v>
      </c>
    </row>
    <row r="3" spans="1:5" ht="31.2" customHeight="1" x14ac:dyDescent="0.3">
      <c r="A3" s="86">
        <v>45026</v>
      </c>
      <c r="B3" s="87">
        <v>1014</v>
      </c>
      <c r="D3" s="22" t="s">
        <v>36</v>
      </c>
      <c r="E3" s="22" t="s">
        <v>85</v>
      </c>
    </row>
    <row r="4" spans="1:5" ht="31.2" customHeight="1" x14ac:dyDescent="0.3">
      <c r="A4" s="86">
        <v>45056</v>
      </c>
      <c r="B4" s="87">
        <v>981</v>
      </c>
      <c r="D4" s="84">
        <v>44967</v>
      </c>
      <c r="E4" s="88">
        <v>110000</v>
      </c>
    </row>
    <row r="5" spans="1:5" ht="31.2" customHeight="1" x14ac:dyDescent="0.3">
      <c r="A5" s="86">
        <v>45086</v>
      </c>
      <c r="B5" s="87">
        <v>1014</v>
      </c>
      <c r="D5" s="84">
        <v>45104</v>
      </c>
      <c r="E5" s="88">
        <v>266000</v>
      </c>
    </row>
    <row r="6" spans="1:5" ht="31.2" customHeight="1" x14ac:dyDescent="0.3">
      <c r="A6" s="86">
        <v>45114</v>
      </c>
      <c r="B6" s="87">
        <v>832</v>
      </c>
      <c r="D6" s="84">
        <v>45363</v>
      </c>
      <c r="E6" s="88">
        <v>200000</v>
      </c>
    </row>
    <row r="7" spans="1:5" ht="31.2" customHeight="1" x14ac:dyDescent="0.3">
      <c r="A7" s="86">
        <v>45117</v>
      </c>
      <c r="B7" s="87">
        <v>2009</v>
      </c>
      <c r="D7" s="22" t="s">
        <v>32</v>
      </c>
      <c r="E7" s="88">
        <f>SUM(E4:E6)</f>
        <v>576000</v>
      </c>
    </row>
    <row r="8" spans="1:5" ht="31.2" customHeight="1" x14ac:dyDescent="0.3">
      <c r="A8" s="86">
        <v>45148</v>
      </c>
      <c r="B8" s="87">
        <v>3465</v>
      </c>
    </row>
    <row r="9" spans="1:5" ht="31.2" customHeight="1" x14ac:dyDescent="0.3">
      <c r="A9" s="86">
        <v>45179</v>
      </c>
      <c r="B9" s="87">
        <v>3465</v>
      </c>
    </row>
    <row r="10" spans="1:5" ht="31.2" customHeight="1" x14ac:dyDescent="0.3">
      <c r="A10" s="86">
        <v>45209</v>
      </c>
      <c r="B10" s="87">
        <v>3465</v>
      </c>
    </row>
    <row r="11" spans="1:5" ht="31.2" customHeight="1" x14ac:dyDescent="0.3">
      <c r="A11" s="86">
        <v>45240</v>
      </c>
      <c r="B11" s="87">
        <v>3465</v>
      </c>
    </row>
    <row r="12" spans="1:5" ht="31.2" customHeight="1" x14ac:dyDescent="0.3">
      <c r="A12" s="86">
        <v>45270</v>
      </c>
      <c r="B12" s="87">
        <v>3465</v>
      </c>
    </row>
    <row r="13" spans="1:5" ht="31.2" customHeight="1" x14ac:dyDescent="0.3">
      <c r="A13" s="86">
        <v>45301</v>
      </c>
      <c r="B13" s="87">
        <v>3465</v>
      </c>
    </row>
    <row r="14" spans="1:5" ht="31.2" customHeight="1" x14ac:dyDescent="0.3">
      <c r="A14" s="86">
        <v>45332</v>
      </c>
      <c r="B14" s="87">
        <v>3465</v>
      </c>
    </row>
    <row r="15" spans="1:5" ht="31.2" customHeight="1" x14ac:dyDescent="0.3">
      <c r="A15" s="86">
        <v>45361</v>
      </c>
      <c r="B15" s="87">
        <v>5200</v>
      </c>
    </row>
    <row r="16" spans="1:5" ht="31.2" customHeight="1" x14ac:dyDescent="0.3">
      <c r="A16" s="86">
        <v>45392</v>
      </c>
      <c r="B16" s="87">
        <v>5200</v>
      </c>
    </row>
    <row r="17" spans="1:2" ht="31.2" customHeight="1" x14ac:dyDescent="0.3">
      <c r="A17" s="86">
        <v>45422</v>
      </c>
      <c r="B17" s="87">
        <v>5293</v>
      </c>
    </row>
    <row r="18" spans="1:2" ht="31.2" customHeight="1" x14ac:dyDescent="0.3">
      <c r="A18" s="86">
        <v>45453</v>
      </c>
      <c r="B18" s="87">
        <v>5293</v>
      </c>
    </row>
    <row r="19" spans="1:2" ht="31.2" customHeight="1" x14ac:dyDescent="0.3">
      <c r="A19" s="86">
        <v>45483</v>
      </c>
      <c r="B19" s="87">
        <v>5293</v>
      </c>
    </row>
    <row r="20" spans="1:2" ht="31.2" customHeight="1" x14ac:dyDescent="0.3">
      <c r="A20" s="86">
        <v>45514</v>
      </c>
      <c r="B20" s="87">
        <v>5293</v>
      </c>
    </row>
    <row r="21" spans="1:2" ht="31.2" customHeight="1" x14ac:dyDescent="0.3">
      <c r="A21" s="86">
        <v>45545</v>
      </c>
      <c r="B21" s="87">
        <v>5293</v>
      </c>
    </row>
    <row r="22" spans="1:2" ht="31.2" customHeight="1" x14ac:dyDescent="0.3">
      <c r="A22" s="86">
        <v>45575</v>
      </c>
      <c r="B22" s="87">
        <v>5293</v>
      </c>
    </row>
    <row r="23" spans="1:2" ht="31.2" customHeight="1" x14ac:dyDescent="0.3">
      <c r="A23" s="86">
        <v>45606</v>
      </c>
      <c r="B23" s="87">
        <v>5293</v>
      </c>
    </row>
    <row r="24" spans="1:2" ht="31.2" customHeight="1" x14ac:dyDescent="0.3">
      <c r="A24" s="86">
        <v>45636</v>
      </c>
      <c r="B24" s="87">
        <v>5293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85A87-5D3E-4F1B-A4B7-1BE0C3878821}">
  <sheetPr codeName="Sheet6">
    <tabColor theme="4" tint="-0.249977111117893"/>
  </sheetPr>
  <dimension ref="A1:C51"/>
  <sheetViews>
    <sheetView zoomScaleNormal="100" workbookViewId="0">
      <selection activeCell="E22" sqref="E22"/>
    </sheetView>
  </sheetViews>
  <sheetFormatPr defaultColWidth="14.5546875" defaultRowHeight="14.4" x14ac:dyDescent="0.3"/>
  <cols>
    <col min="1" max="1" width="16.77734375" bestFit="1" customWidth="1"/>
    <col min="2" max="2" width="15" customWidth="1"/>
  </cols>
  <sheetData>
    <row r="1" spans="1:3" x14ac:dyDescent="0.3">
      <c r="A1" s="24" t="s">
        <v>97</v>
      </c>
      <c r="B1" s="24" t="s">
        <v>95</v>
      </c>
      <c r="C1" s="40"/>
    </row>
    <row r="2" spans="1:3" x14ac:dyDescent="0.3">
      <c r="A2" s="126">
        <v>44958</v>
      </c>
      <c r="B2" s="125">
        <v>0</v>
      </c>
    </row>
    <row r="3" spans="1:3" x14ac:dyDescent="0.3">
      <c r="A3" s="126">
        <v>44986</v>
      </c>
      <c r="B3" s="125">
        <v>204.5</v>
      </c>
    </row>
    <row r="4" spans="1:3" x14ac:dyDescent="0.3">
      <c r="A4" s="126">
        <v>45017</v>
      </c>
      <c r="B4" s="125">
        <v>1733.5</v>
      </c>
    </row>
    <row r="5" spans="1:3" x14ac:dyDescent="0.3">
      <c r="A5" s="126">
        <v>45047</v>
      </c>
      <c r="B5" s="125">
        <v>2280.5</v>
      </c>
    </row>
    <row r="6" spans="1:3" ht="15" customHeight="1" x14ac:dyDescent="0.3">
      <c r="A6" s="126">
        <v>45078</v>
      </c>
      <c r="B6" s="125">
        <v>2248.5</v>
      </c>
    </row>
    <row r="7" spans="1:3" ht="15" customHeight="1" x14ac:dyDescent="0.3">
      <c r="A7" s="126">
        <v>45108</v>
      </c>
      <c r="B7" s="125">
        <v>2782.5</v>
      </c>
    </row>
    <row r="8" spans="1:3" ht="15" customHeight="1" x14ac:dyDescent="0.3">
      <c r="A8" s="126">
        <v>45139</v>
      </c>
      <c r="B8" s="125">
        <v>2659</v>
      </c>
    </row>
    <row r="9" spans="1:3" ht="15" customHeight="1" x14ac:dyDescent="0.3">
      <c r="A9" s="126">
        <v>45170</v>
      </c>
      <c r="B9" s="125">
        <v>2218</v>
      </c>
    </row>
    <row r="10" spans="1:3" ht="15" customHeight="1" x14ac:dyDescent="0.3">
      <c r="A10" s="126">
        <v>45200</v>
      </c>
      <c r="B10" s="125">
        <v>2736</v>
      </c>
    </row>
    <row r="11" spans="1:3" ht="15" customHeight="1" x14ac:dyDescent="0.3">
      <c r="A11" s="126">
        <v>45231</v>
      </c>
      <c r="B11" s="125">
        <v>2600</v>
      </c>
    </row>
    <row r="12" spans="1:3" ht="15" customHeight="1" x14ac:dyDescent="0.3">
      <c r="A12" s="126">
        <v>45261</v>
      </c>
      <c r="B12" s="125">
        <v>2511</v>
      </c>
    </row>
    <row r="13" spans="1:3" ht="15" customHeight="1" x14ac:dyDescent="0.3">
      <c r="A13" s="126">
        <v>45292</v>
      </c>
      <c r="B13" s="125">
        <v>2669</v>
      </c>
    </row>
    <row r="14" spans="1:3" ht="15" customHeight="1" x14ac:dyDescent="0.3">
      <c r="A14" s="126">
        <v>45323</v>
      </c>
      <c r="B14" s="125">
        <v>2619</v>
      </c>
    </row>
    <row r="15" spans="1:3" ht="15" customHeight="1" x14ac:dyDescent="0.3">
      <c r="A15" s="126">
        <v>45352</v>
      </c>
      <c r="B15" s="125">
        <v>2142</v>
      </c>
    </row>
    <row r="16" spans="1:3" ht="15" customHeight="1" x14ac:dyDescent="0.3">
      <c r="A16" s="126">
        <v>45383</v>
      </c>
      <c r="B16" s="125">
        <v>3203</v>
      </c>
    </row>
    <row r="17" spans="1:2" ht="15" customHeight="1" x14ac:dyDescent="0.3">
      <c r="A17" s="126">
        <v>45413</v>
      </c>
      <c r="B17" s="125">
        <v>1950</v>
      </c>
    </row>
    <row r="18" spans="1:2" ht="15" customHeight="1" x14ac:dyDescent="0.3">
      <c r="A18" s="126">
        <v>45444</v>
      </c>
      <c r="B18" s="125">
        <v>2013</v>
      </c>
    </row>
    <row r="19" spans="1:2" ht="15" customHeight="1" x14ac:dyDescent="0.3">
      <c r="A19" s="126">
        <v>45474</v>
      </c>
      <c r="B19" s="125">
        <v>3031</v>
      </c>
    </row>
    <row r="20" spans="1:2" ht="15" customHeight="1" x14ac:dyDescent="0.3">
      <c r="A20" s="126">
        <v>45505</v>
      </c>
      <c r="B20" s="125">
        <v>2147</v>
      </c>
    </row>
    <row r="21" spans="1:2" ht="15" customHeight="1" x14ac:dyDescent="0.3">
      <c r="A21" s="126">
        <v>45536</v>
      </c>
      <c r="B21" s="125">
        <v>2559</v>
      </c>
    </row>
    <row r="22" spans="1:2" ht="15" customHeight="1" x14ac:dyDescent="0.3">
      <c r="A22" s="126">
        <v>45566</v>
      </c>
      <c r="B22" s="125">
        <v>2066</v>
      </c>
    </row>
    <row r="23" spans="1:2" ht="15" customHeight="1" x14ac:dyDescent="0.3">
      <c r="A23" s="126">
        <v>45597</v>
      </c>
      <c r="B23" s="125">
        <v>1605</v>
      </c>
    </row>
    <row r="24" spans="1:2" ht="15" customHeight="1" x14ac:dyDescent="0.3">
      <c r="A24" s="126">
        <v>45627</v>
      </c>
      <c r="B24" s="125">
        <v>2419</v>
      </c>
    </row>
    <row r="25" spans="1:2" ht="15" customHeight="1" x14ac:dyDescent="0.3">
      <c r="A25" s="43" t="s">
        <v>32</v>
      </c>
      <c r="B25" s="24">
        <f>SUM(B2:B24)</f>
        <v>50396.5</v>
      </c>
    </row>
    <row r="26" spans="1:2" ht="15" customHeight="1" x14ac:dyDescent="0.3">
      <c r="A26" s="124"/>
    </row>
    <row r="29" spans="1:2" x14ac:dyDescent="0.3">
      <c r="A29" s="77"/>
    </row>
    <row r="30" spans="1:2" x14ac:dyDescent="0.3">
      <c r="A30" s="77"/>
    </row>
    <row r="31" spans="1:2" x14ac:dyDescent="0.3">
      <c r="A31" s="77"/>
    </row>
    <row r="32" spans="1:2" x14ac:dyDescent="0.3">
      <c r="A32" s="77"/>
    </row>
    <row r="33" spans="1:1" x14ac:dyDescent="0.3">
      <c r="A33" s="77"/>
    </row>
    <row r="34" spans="1:1" x14ac:dyDescent="0.3">
      <c r="A34" s="77"/>
    </row>
    <row r="35" spans="1:1" x14ac:dyDescent="0.3">
      <c r="A35" s="77"/>
    </row>
    <row r="36" spans="1:1" x14ac:dyDescent="0.3">
      <c r="A36" s="77"/>
    </row>
    <row r="37" spans="1:1" x14ac:dyDescent="0.3">
      <c r="A37" s="77"/>
    </row>
    <row r="38" spans="1:1" x14ac:dyDescent="0.3">
      <c r="A38" s="77"/>
    </row>
    <row r="39" spans="1:1" x14ac:dyDescent="0.3">
      <c r="A39" s="77"/>
    </row>
    <row r="40" spans="1:1" x14ac:dyDescent="0.3">
      <c r="A40" s="77"/>
    </row>
    <row r="41" spans="1:1" x14ac:dyDescent="0.3">
      <c r="A41" s="77"/>
    </row>
    <row r="42" spans="1:1" x14ac:dyDescent="0.3">
      <c r="A42" s="77"/>
    </row>
    <row r="43" spans="1:1" x14ac:dyDescent="0.3">
      <c r="A43" s="77"/>
    </row>
    <row r="44" spans="1:1" x14ac:dyDescent="0.3">
      <c r="A44" s="77"/>
    </row>
    <row r="45" spans="1:1" x14ac:dyDescent="0.3">
      <c r="A45" s="77"/>
    </row>
    <row r="46" spans="1:1" x14ac:dyDescent="0.3">
      <c r="A46" s="77"/>
    </row>
    <row r="47" spans="1:1" x14ac:dyDescent="0.3">
      <c r="A47" s="77"/>
    </row>
    <row r="48" spans="1:1" x14ac:dyDescent="0.3">
      <c r="A48" s="77"/>
    </row>
    <row r="49" spans="1:1" x14ac:dyDescent="0.3">
      <c r="A49" s="77"/>
    </row>
    <row r="50" spans="1:1" x14ac:dyDescent="0.3">
      <c r="A50" s="77"/>
    </row>
    <row r="51" spans="1:1" x14ac:dyDescent="0.3">
      <c r="A51" s="7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B78A-4B46-4BF6-9E1E-94B2691A383C}">
  <sheetPr codeName="Sheet7">
    <tabColor theme="9" tint="0.59999389629810485"/>
  </sheetPr>
  <dimension ref="A1:P20"/>
  <sheetViews>
    <sheetView zoomScale="148" zoomScaleNormal="100" workbookViewId="0">
      <selection activeCell="I8" sqref="I8"/>
    </sheetView>
  </sheetViews>
  <sheetFormatPr defaultRowHeight="14.4" x14ac:dyDescent="0.3"/>
  <cols>
    <col min="13" max="13" width="11.88671875" bestFit="1" customWidth="1"/>
    <col min="16" max="16" width="15" bestFit="1" customWidth="1"/>
  </cols>
  <sheetData>
    <row r="1" spans="1:16" x14ac:dyDescent="0.3">
      <c r="A1" t="s">
        <v>97</v>
      </c>
      <c r="B1" t="s">
        <v>98</v>
      </c>
      <c r="F1" s="82" t="s">
        <v>99</v>
      </c>
      <c r="G1" s="82">
        <f>I20-M14+P10</f>
        <v>3700</v>
      </c>
    </row>
    <row r="2" spans="1:16" x14ac:dyDescent="0.3">
      <c r="A2" s="77">
        <v>45017</v>
      </c>
      <c r="B2">
        <v>600</v>
      </c>
    </row>
    <row r="3" spans="1:16" x14ac:dyDescent="0.3">
      <c r="A3" s="77">
        <v>45047</v>
      </c>
      <c r="B3">
        <v>600</v>
      </c>
    </row>
    <row r="4" spans="1:16" x14ac:dyDescent="0.3">
      <c r="A4" s="77">
        <v>45078</v>
      </c>
      <c r="B4">
        <v>600</v>
      </c>
    </row>
    <row r="5" spans="1:16" x14ac:dyDescent="0.3">
      <c r="A5" s="77">
        <v>45108</v>
      </c>
      <c r="B5">
        <v>600</v>
      </c>
    </row>
    <row r="6" spans="1:16" x14ac:dyDescent="0.3">
      <c r="A6" s="77">
        <v>45139</v>
      </c>
      <c r="B6">
        <v>600</v>
      </c>
    </row>
    <row r="7" spans="1:16" x14ac:dyDescent="0.3">
      <c r="A7" s="77">
        <v>45170</v>
      </c>
      <c r="B7">
        <v>600</v>
      </c>
      <c r="H7" s="24" t="s">
        <v>36</v>
      </c>
      <c r="I7" s="24" t="s">
        <v>98</v>
      </c>
      <c r="L7" s="44" t="s">
        <v>36</v>
      </c>
      <c r="M7" s="44" t="s">
        <v>100</v>
      </c>
      <c r="O7" s="24" t="s">
        <v>36</v>
      </c>
      <c r="P7" s="24" t="s">
        <v>101</v>
      </c>
    </row>
    <row r="8" spans="1:16" x14ac:dyDescent="0.3">
      <c r="A8" s="77">
        <v>45200</v>
      </c>
      <c r="B8">
        <v>600</v>
      </c>
      <c r="H8" s="46">
        <v>45042</v>
      </c>
      <c r="I8" s="47">
        <v>400</v>
      </c>
      <c r="L8" s="48">
        <v>45060</v>
      </c>
      <c r="M8" s="49">
        <v>20</v>
      </c>
      <c r="O8" s="50">
        <v>45062</v>
      </c>
      <c r="P8" s="51">
        <v>20</v>
      </c>
    </row>
    <row r="9" spans="1:16" x14ac:dyDescent="0.3">
      <c r="A9" s="77">
        <v>45231</v>
      </c>
      <c r="B9">
        <v>600</v>
      </c>
      <c r="H9" s="46">
        <v>45044</v>
      </c>
      <c r="I9" s="47">
        <v>70</v>
      </c>
      <c r="L9" s="78">
        <v>45068</v>
      </c>
      <c r="M9" s="79">
        <v>50</v>
      </c>
      <c r="O9" s="80">
        <v>45068</v>
      </c>
      <c r="P9" s="81">
        <v>15</v>
      </c>
    </row>
    <row r="10" spans="1:16" x14ac:dyDescent="0.3">
      <c r="A10" s="77">
        <v>45261</v>
      </c>
      <c r="B10">
        <v>600</v>
      </c>
      <c r="H10" s="46">
        <v>45048</v>
      </c>
      <c r="I10" s="47">
        <v>190</v>
      </c>
      <c r="L10" s="78">
        <v>45092</v>
      </c>
      <c r="M10" s="79">
        <v>7</v>
      </c>
      <c r="O10" t="s">
        <v>32</v>
      </c>
      <c r="P10">
        <f>SUM(P8:P9)</f>
        <v>35</v>
      </c>
    </row>
    <row r="11" spans="1:16" x14ac:dyDescent="0.3">
      <c r="A11" s="77">
        <v>45292</v>
      </c>
      <c r="B11">
        <v>600</v>
      </c>
      <c r="H11" s="46">
        <v>45055</v>
      </c>
      <c r="I11" s="47">
        <v>340</v>
      </c>
      <c r="L11" s="78">
        <v>45093</v>
      </c>
      <c r="M11" s="79">
        <v>109</v>
      </c>
    </row>
    <row r="12" spans="1:16" x14ac:dyDescent="0.3">
      <c r="A12" s="77">
        <v>45323</v>
      </c>
      <c r="B12">
        <v>600</v>
      </c>
      <c r="H12" s="46">
        <v>45062</v>
      </c>
      <c r="I12" s="47">
        <v>250</v>
      </c>
      <c r="L12" s="78">
        <v>45097</v>
      </c>
      <c r="M12" s="79">
        <v>5</v>
      </c>
    </row>
    <row r="13" spans="1:16" x14ac:dyDescent="0.3">
      <c r="A13" s="77">
        <v>45352</v>
      </c>
      <c r="B13">
        <v>600</v>
      </c>
      <c r="H13" s="46">
        <v>45077</v>
      </c>
      <c r="I13" s="47">
        <v>170</v>
      </c>
      <c r="L13" s="78">
        <v>45104</v>
      </c>
      <c r="M13" s="79">
        <v>2300</v>
      </c>
    </row>
    <row r="14" spans="1:16" x14ac:dyDescent="0.3">
      <c r="A14" s="77">
        <v>45383</v>
      </c>
      <c r="B14">
        <v>600</v>
      </c>
      <c r="H14" s="46">
        <v>45091</v>
      </c>
      <c r="I14" s="47">
        <v>1036</v>
      </c>
      <c r="L14" t="s">
        <v>32</v>
      </c>
      <c r="M14">
        <f>SUM(M8:M13)</f>
        <v>2491</v>
      </c>
    </row>
    <row r="15" spans="1:16" x14ac:dyDescent="0.3">
      <c r="A15" s="77">
        <v>45413</v>
      </c>
      <c r="B15">
        <v>600</v>
      </c>
      <c r="H15" s="46">
        <v>45118</v>
      </c>
      <c r="I15" s="47">
        <v>510</v>
      </c>
    </row>
    <row r="16" spans="1:16" x14ac:dyDescent="0.3">
      <c r="A16" s="77">
        <v>45444</v>
      </c>
      <c r="B16">
        <v>600</v>
      </c>
      <c r="H16" s="46">
        <v>45125</v>
      </c>
      <c r="I16" s="47">
        <v>180</v>
      </c>
    </row>
    <row r="17" spans="1:9" x14ac:dyDescent="0.3">
      <c r="A17" s="77">
        <v>45474</v>
      </c>
      <c r="B17">
        <v>600</v>
      </c>
      <c r="H17" s="46">
        <v>45128</v>
      </c>
      <c r="I17" s="47">
        <v>460</v>
      </c>
    </row>
    <row r="18" spans="1:9" x14ac:dyDescent="0.3">
      <c r="A18" t="s">
        <v>32</v>
      </c>
      <c r="B18">
        <f>SUM(B1:B17)</f>
        <v>9600</v>
      </c>
      <c r="H18" s="46">
        <v>45219</v>
      </c>
      <c r="I18" s="47">
        <v>2350</v>
      </c>
    </row>
    <row r="19" spans="1:9" x14ac:dyDescent="0.3">
      <c r="H19" s="46">
        <v>45224</v>
      </c>
      <c r="I19" s="47">
        <v>200</v>
      </c>
    </row>
    <row r="20" spans="1:9" x14ac:dyDescent="0.3">
      <c r="H20" s="24" t="s">
        <v>32</v>
      </c>
      <c r="I20" s="45">
        <f>SUM(I8:I19)</f>
        <v>6156</v>
      </c>
    </row>
  </sheetData>
  <phoneticPr fontId="1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6A752-250E-439E-838F-5F806ED7AE89}">
  <sheetPr codeName="Sheet3">
    <tabColor rgb="FFFFC000"/>
  </sheetPr>
  <dimension ref="D4:P8"/>
  <sheetViews>
    <sheetView topLeftCell="B1" zoomScale="135" workbookViewId="0">
      <selection activeCell="E4" sqref="E4"/>
    </sheetView>
  </sheetViews>
  <sheetFormatPr defaultRowHeight="14.4" x14ac:dyDescent="0.3"/>
  <cols>
    <col min="4" max="4" width="11" bestFit="1" customWidth="1"/>
    <col min="5" max="5" width="10.6640625" bestFit="1" customWidth="1"/>
  </cols>
  <sheetData>
    <row r="4" spans="4:16" x14ac:dyDescent="0.3">
      <c r="D4" t="s">
        <v>0</v>
      </c>
      <c r="G4" s="127"/>
      <c r="H4" s="127"/>
      <c r="I4" s="127"/>
      <c r="J4" s="127"/>
      <c r="K4" s="127"/>
    </row>
    <row r="5" spans="4:16" x14ac:dyDescent="0.3">
      <c r="D5" t="s">
        <v>33</v>
      </c>
      <c r="G5" s="127"/>
      <c r="H5" s="127"/>
      <c r="I5" s="127"/>
      <c r="J5" s="127"/>
      <c r="K5" s="127"/>
    </row>
    <row r="6" spans="4:16" x14ac:dyDescent="0.3">
      <c r="D6" t="s">
        <v>34</v>
      </c>
      <c r="G6" s="127"/>
      <c r="H6" s="127"/>
      <c r="I6" s="127"/>
      <c r="J6" s="127"/>
      <c r="K6" s="127"/>
      <c r="P6" t="s">
        <v>96</v>
      </c>
    </row>
    <row r="7" spans="4:16" x14ac:dyDescent="0.3">
      <c r="D7" t="s">
        <v>35</v>
      </c>
      <c r="G7" s="127"/>
      <c r="H7" s="127"/>
      <c r="I7" s="127"/>
      <c r="J7" s="127"/>
      <c r="K7" s="127"/>
    </row>
    <row r="8" spans="4:16" x14ac:dyDescent="0.3">
      <c r="D8" t="s">
        <v>36</v>
      </c>
      <c r="G8" s="127"/>
      <c r="H8" s="127"/>
      <c r="I8" s="127"/>
      <c r="J8" s="127"/>
      <c r="K8" s="127"/>
    </row>
  </sheetData>
  <mergeCells count="1">
    <mergeCell ref="G4:K8"/>
  </mergeCells>
  <dataValidations count="1">
    <dataValidation type="list" errorStyle="warning" allowBlank="1" showInputMessage="1" showErrorMessage="1" error="Value not in the list. Continue Anyways" sqref="E1048576 E3" xr:uid="{5FA58EF0-DFFD-4C5F-AB86-BDAEF60A791F}">
      <formula1>"Rent, Eat out, optus, vodafone, Grocery, Shopping, Loan Int.,Travel, Misc"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B7D9-501C-4B1B-A791-4E5E3B2641B6}">
  <sheetPr codeName="Sheet4">
    <tabColor theme="5" tint="0.39997558519241921"/>
  </sheetPr>
  <dimension ref="A1:F946"/>
  <sheetViews>
    <sheetView tabSelected="1" topLeftCell="A38" zoomScale="108" zoomScaleNormal="115" workbookViewId="0">
      <selection activeCell="G19" sqref="G19"/>
    </sheetView>
  </sheetViews>
  <sheetFormatPr defaultColWidth="14.5546875" defaultRowHeight="24" customHeight="1" x14ac:dyDescent="0.3"/>
  <cols>
    <col min="1" max="1" width="19.5546875" bestFit="1" customWidth="1"/>
    <col min="5" max="5" width="17.5546875" style="42" bestFit="1" customWidth="1"/>
  </cols>
  <sheetData>
    <row r="1" spans="1:6" ht="24" customHeight="1" x14ac:dyDescent="0.3">
      <c r="A1" s="85" t="s">
        <v>0</v>
      </c>
      <c r="B1" s="38" t="s">
        <v>33</v>
      </c>
      <c r="C1" s="38" t="s">
        <v>34</v>
      </c>
      <c r="D1" s="38" t="s">
        <v>35</v>
      </c>
      <c r="E1" s="123" t="s">
        <v>36</v>
      </c>
      <c r="F1" s="39"/>
    </row>
    <row r="2" spans="1:6" ht="24" customHeight="1" x14ac:dyDescent="0.3">
      <c r="A2" s="129" t="s">
        <v>19</v>
      </c>
      <c r="B2" s="129">
        <v>0</v>
      </c>
      <c r="C2" s="129">
        <v>53.93</v>
      </c>
      <c r="D2" s="129">
        <v>10934</v>
      </c>
      <c r="E2" s="130">
        <v>44844</v>
      </c>
    </row>
    <row r="3" spans="1:6" ht="24" customHeight="1" x14ac:dyDescent="0.3">
      <c r="A3" s="129" t="s">
        <v>102</v>
      </c>
      <c r="B3" s="129">
        <v>0</v>
      </c>
      <c r="C3" s="129">
        <v>58.4</v>
      </c>
      <c r="D3" s="129">
        <v>3102</v>
      </c>
      <c r="E3" s="130">
        <v>44970</v>
      </c>
    </row>
    <row r="4" spans="1:6" ht="24" customHeight="1" x14ac:dyDescent="0.3">
      <c r="A4" s="131" t="s">
        <v>103</v>
      </c>
      <c r="B4" s="131">
        <v>3.75</v>
      </c>
      <c r="C4" s="131">
        <v>56.5</v>
      </c>
      <c r="D4" s="131">
        <v>0</v>
      </c>
      <c r="E4" s="132">
        <v>44970</v>
      </c>
    </row>
    <row r="5" spans="1:6" ht="24" customHeight="1" x14ac:dyDescent="0.3">
      <c r="A5" s="129" t="s">
        <v>112</v>
      </c>
      <c r="B5" s="129">
        <v>0</v>
      </c>
      <c r="C5" s="129">
        <v>0</v>
      </c>
      <c r="D5" s="129">
        <v>0</v>
      </c>
      <c r="E5" s="130">
        <v>44970</v>
      </c>
    </row>
    <row r="6" spans="1:6" ht="24" customHeight="1" x14ac:dyDescent="0.3">
      <c r="A6" s="133" t="s">
        <v>22</v>
      </c>
      <c r="B6" s="133">
        <v>10.7</v>
      </c>
      <c r="C6" s="133">
        <v>0</v>
      </c>
      <c r="D6" s="133">
        <v>0</v>
      </c>
      <c r="E6" s="134">
        <v>44970</v>
      </c>
    </row>
    <row r="7" spans="1:6" ht="24" customHeight="1" x14ac:dyDescent="0.3">
      <c r="A7" s="133" t="s">
        <v>22</v>
      </c>
      <c r="B7" s="133">
        <v>4.75</v>
      </c>
      <c r="C7" s="133">
        <v>0</v>
      </c>
      <c r="D7" s="133">
        <v>0</v>
      </c>
      <c r="E7" s="134">
        <v>44970</v>
      </c>
    </row>
    <row r="8" spans="1:6" ht="24" customHeight="1" x14ac:dyDescent="0.3">
      <c r="A8" s="133" t="s">
        <v>22</v>
      </c>
      <c r="B8" s="133">
        <v>3</v>
      </c>
      <c r="C8" s="133">
        <v>0</v>
      </c>
      <c r="D8" s="133">
        <v>0</v>
      </c>
      <c r="E8" s="134">
        <v>44970</v>
      </c>
    </row>
    <row r="9" spans="1:6" ht="24" customHeight="1" x14ac:dyDescent="0.3">
      <c r="A9" s="133" t="s">
        <v>103</v>
      </c>
      <c r="B9" s="133">
        <v>7.4</v>
      </c>
      <c r="C9" s="133">
        <v>56.5</v>
      </c>
      <c r="D9" s="133">
        <v>0</v>
      </c>
      <c r="E9" s="134">
        <v>44971</v>
      </c>
    </row>
    <row r="10" spans="1:6" ht="24" customHeight="1" x14ac:dyDescent="0.3">
      <c r="A10" s="133" t="s">
        <v>103</v>
      </c>
      <c r="B10" s="133">
        <v>12</v>
      </c>
      <c r="C10" s="133">
        <v>56.5</v>
      </c>
      <c r="D10" s="133">
        <v>0</v>
      </c>
      <c r="E10" s="134">
        <v>44971</v>
      </c>
    </row>
    <row r="11" spans="1:6" ht="24" customHeight="1" x14ac:dyDescent="0.3">
      <c r="A11" s="133" t="s">
        <v>19</v>
      </c>
      <c r="B11" s="133">
        <v>0</v>
      </c>
      <c r="C11" s="133">
        <v>58.68</v>
      </c>
      <c r="D11" s="133">
        <v>11855</v>
      </c>
      <c r="E11" s="134">
        <v>44971</v>
      </c>
    </row>
    <row r="12" spans="1:6" ht="24" customHeight="1" x14ac:dyDescent="0.3">
      <c r="A12" s="133" t="s">
        <v>25</v>
      </c>
      <c r="B12" s="133">
        <v>6</v>
      </c>
      <c r="C12" s="133">
        <v>0</v>
      </c>
      <c r="D12" s="133">
        <v>0</v>
      </c>
      <c r="E12" s="134">
        <v>44971</v>
      </c>
    </row>
    <row r="13" spans="1:6" ht="24" customHeight="1" x14ac:dyDescent="0.3">
      <c r="A13" s="133" t="s">
        <v>22</v>
      </c>
      <c r="B13" s="133">
        <v>13.625</v>
      </c>
      <c r="C13" s="133">
        <v>0</v>
      </c>
      <c r="D13" s="133">
        <v>0</v>
      </c>
      <c r="E13" s="134">
        <v>44971</v>
      </c>
    </row>
    <row r="14" spans="1:6" ht="24" customHeight="1" x14ac:dyDescent="0.3">
      <c r="A14" s="133" t="s">
        <v>103</v>
      </c>
      <c r="B14" s="133">
        <v>21.75</v>
      </c>
      <c r="C14" s="133">
        <v>56.5</v>
      </c>
      <c r="D14" s="133">
        <v>0</v>
      </c>
      <c r="E14" s="134">
        <v>44972</v>
      </c>
    </row>
    <row r="15" spans="1:6" ht="24" customHeight="1" x14ac:dyDescent="0.3">
      <c r="A15" s="133" t="s">
        <v>103</v>
      </c>
      <c r="B15" s="133">
        <v>22.75</v>
      </c>
      <c r="C15" s="133">
        <v>56.5</v>
      </c>
      <c r="D15" s="133">
        <v>0</v>
      </c>
      <c r="E15" s="134">
        <v>44972</v>
      </c>
    </row>
    <row r="16" spans="1:6" ht="24" customHeight="1" x14ac:dyDescent="0.3">
      <c r="A16" s="133" t="s">
        <v>25</v>
      </c>
      <c r="B16" s="133">
        <v>6</v>
      </c>
      <c r="C16" s="133">
        <v>0</v>
      </c>
      <c r="D16" s="133">
        <v>0</v>
      </c>
      <c r="E16" s="134">
        <v>44972</v>
      </c>
    </row>
    <row r="17" spans="1:5" ht="24" customHeight="1" x14ac:dyDescent="0.3">
      <c r="A17" s="133" t="s">
        <v>22</v>
      </c>
      <c r="B17" s="133">
        <v>31.2</v>
      </c>
      <c r="C17" s="133">
        <v>0</v>
      </c>
      <c r="D17" s="133">
        <v>0</v>
      </c>
      <c r="E17" s="134">
        <v>44972</v>
      </c>
    </row>
    <row r="18" spans="1:5" ht="24" customHeight="1" x14ac:dyDescent="0.3">
      <c r="A18" s="133" t="s">
        <v>103</v>
      </c>
      <c r="B18" s="133">
        <v>3.15</v>
      </c>
      <c r="C18" s="133">
        <v>56.5</v>
      </c>
      <c r="D18" s="133">
        <v>0</v>
      </c>
      <c r="E18" s="134">
        <v>44973</v>
      </c>
    </row>
    <row r="19" spans="1:5" ht="24" customHeight="1" x14ac:dyDescent="0.3">
      <c r="A19" s="133" t="s">
        <v>25</v>
      </c>
      <c r="B19" s="133">
        <v>1.5</v>
      </c>
      <c r="C19" s="133">
        <v>0</v>
      </c>
      <c r="D19" s="133">
        <v>0</v>
      </c>
      <c r="E19" s="134">
        <v>44973</v>
      </c>
    </row>
    <row r="20" spans="1:5" ht="24" customHeight="1" x14ac:dyDescent="0.3">
      <c r="A20" s="133" t="s">
        <v>22</v>
      </c>
      <c r="B20" s="133">
        <v>5.05</v>
      </c>
      <c r="C20" s="133">
        <v>0</v>
      </c>
      <c r="D20" s="133">
        <v>0</v>
      </c>
      <c r="E20" s="134">
        <v>44973</v>
      </c>
    </row>
    <row r="21" spans="1:5" s="128" customFormat="1" ht="24" customHeight="1" x14ac:dyDescent="0.3">
      <c r="A21" s="133" t="s">
        <v>103</v>
      </c>
      <c r="B21" s="133">
        <v>13.5</v>
      </c>
      <c r="C21" s="133">
        <v>56.5</v>
      </c>
      <c r="D21" s="133">
        <v>0</v>
      </c>
      <c r="E21" s="130">
        <v>44974</v>
      </c>
    </row>
    <row r="22" spans="1:5" ht="24" customHeight="1" x14ac:dyDescent="0.3">
      <c r="A22" s="133" t="s">
        <v>28</v>
      </c>
      <c r="B22" s="133">
        <v>10</v>
      </c>
      <c r="C22" s="133">
        <v>56.5</v>
      </c>
      <c r="D22" s="133">
        <v>0</v>
      </c>
      <c r="E22" s="134">
        <v>44974</v>
      </c>
    </row>
    <row r="23" spans="1:5" ht="24" customHeight="1" x14ac:dyDescent="0.3">
      <c r="A23" s="133" t="s">
        <v>25</v>
      </c>
      <c r="B23" s="133">
        <v>6</v>
      </c>
      <c r="C23" s="133">
        <v>0</v>
      </c>
      <c r="D23" s="133">
        <v>0</v>
      </c>
      <c r="E23" s="134">
        <v>44974</v>
      </c>
    </row>
    <row r="24" spans="1:5" ht="24" customHeight="1" x14ac:dyDescent="0.3">
      <c r="A24" s="133" t="s">
        <v>22</v>
      </c>
      <c r="B24" s="133">
        <v>3.3</v>
      </c>
      <c r="C24" s="133">
        <v>0</v>
      </c>
      <c r="D24" s="133">
        <v>0</v>
      </c>
      <c r="E24" s="134">
        <v>44974</v>
      </c>
    </row>
    <row r="25" spans="1:5" ht="24" customHeight="1" x14ac:dyDescent="0.3">
      <c r="A25" s="133" t="s">
        <v>103</v>
      </c>
      <c r="B25" s="133">
        <v>6</v>
      </c>
      <c r="C25" s="133">
        <v>56.5</v>
      </c>
      <c r="D25" s="133">
        <v>0</v>
      </c>
      <c r="E25" s="134">
        <v>44975</v>
      </c>
    </row>
    <row r="26" spans="1:5" ht="24" customHeight="1" x14ac:dyDescent="0.3">
      <c r="A26" s="133" t="s">
        <v>25</v>
      </c>
      <c r="B26" s="133">
        <v>1.5</v>
      </c>
      <c r="C26" s="133">
        <v>0</v>
      </c>
      <c r="D26" s="133">
        <v>0</v>
      </c>
      <c r="E26" s="134">
        <v>44975</v>
      </c>
    </row>
    <row r="27" spans="1:5" ht="24" customHeight="1" x14ac:dyDescent="0.3">
      <c r="A27" s="133" t="s">
        <v>25</v>
      </c>
      <c r="B27" s="133">
        <v>2</v>
      </c>
      <c r="C27" s="133">
        <v>0</v>
      </c>
      <c r="D27" s="133">
        <v>0</v>
      </c>
      <c r="E27" s="134">
        <v>44976</v>
      </c>
    </row>
    <row r="28" spans="1:5" ht="24" customHeight="1" x14ac:dyDescent="0.3">
      <c r="A28" s="133" t="s">
        <v>25</v>
      </c>
      <c r="B28" s="133">
        <v>25.75</v>
      </c>
      <c r="C28" s="133">
        <v>0</v>
      </c>
      <c r="D28" s="133">
        <v>0</v>
      </c>
      <c r="E28" s="134">
        <v>44976</v>
      </c>
    </row>
    <row r="29" spans="1:5" ht="24" customHeight="1" x14ac:dyDescent="0.3">
      <c r="A29" s="133" t="s">
        <v>103</v>
      </c>
      <c r="B29" s="133">
        <v>23</v>
      </c>
      <c r="C29" s="133">
        <v>56.5</v>
      </c>
      <c r="D29" s="133">
        <v>0</v>
      </c>
      <c r="E29" s="134">
        <v>44977</v>
      </c>
    </row>
    <row r="30" spans="1:5" ht="24" customHeight="1" x14ac:dyDescent="0.3">
      <c r="A30" s="133" t="s">
        <v>25</v>
      </c>
      <c r="B30" s="133">
        <v>6</v>
      </c>
      <c r="C30" s="133">
        <v>0</v>
      </c>
      <c r="D30" s="133">
        <v>0</v>
      </c>
      <c r="E30" s="134">
        <v>44977</v>
      </c>
    </row>
    <row r="31" spans="1:5" ht="24" customHeight="1" x14ac:dyDescent="0.3">
      <c r="A31" s="133" t="s">
        <v>25</v>
      </c>
      <c r="B31" s="133">
        <v>1</v>
      </c>
      <c r="C31" s="133">
        <v>0</v>
      </c>
      <c r="D31" s="133">
        <v>0</v>
      </c>
      <c r="E31" s="134">
        <v>44977</v>
      </c>
    </row>
    <row r="32" spans="1:5" ht="24" customHeight="1" x14ac:dyDescent="0.3">
      <c r="A32" s="133" t="s">
        <v>25</v>
      </c>
      <c r="B32" s="133">
        <v>3</v>
      </c>
      <c r="C32" s="133">
        <v>0</v>
      </c>
      <c r="D32" s="133">
        <v>0</v>
      </c>
      <c r="E32" s="134">
        <v>44978</v>
      </c>
    </row>
    <row r="33" spans="1:5" ht="24" customHeight="1" x14ac:dyDescent="0.3">
      <c r="A33" s="133" t="s">
        <v>103</v>
      </c>
      <c r="B33" s="133">
        <v>1</v>
      </c>
      <c r="C33" s="133">
        <v>56.5</v>
      </c>
      <c r="D33" s="133">
        <v>0</v>
      </c>
      <c r="E33" s="134">
        <v>44979</v>
      </c>
    </row>
    <row r="34" spans="1:5" ht="24" customHeight="1" x14ac:dyDescent="0.3">
      <c r="A34" s="133" t="s">
        <v>103</v>
      </c>
      <c r="B34" s="133">
        <v>3.5</v>
      </c>
      <c r="C34" s="133">
        <v>56.5</v>
      </c>
      <c r="D34" s="133">
        <v>0</v>
      </c>
      <c r="E34" s="134">
        <v>44979</v>
      </c>
    </row>
    <row r="35" spans="1:5" ht="24" customHeight="1" x14ac:dyDescent="0.3">
      <c r="A35" s="133" t="s">
        <v>25</v>
      </c>
      <c r="B35" s="133">
        <v>6</v>
      </c>
      <c r="C35" s="133">
        <v>0</v>
      </c>
      <c r="D35" s="133">
        <v>0</v>
      </c>
      <c r="E35" s="134">
        <v>44979</v>
      </c>
    </row>
    <row r="36" spans="1:5" ht="24" customHeight="1" x14ac:dyDescent="0.3">
      <c r="A36" s="133" t="s">
        <v>22</v>
      </c>
      <c r="B36" s="133">
        <v>1.8</v>
      </c>
      <c r="C36" s="133">
        <v>0</v>
      </c>
      <c r="D36" s="133">
        <v>0</v>
      </c>
      <c r="E36" s="134">
        <v>44979</v>
      </c>
    </row>
    <row r="37" spans="1:5" ht="24" customHeight="1" x14ac:dyDescent="0.3">
      <c r="A37" s="133" t="s">
        <v>25</v>
      </c>
      <c r="B37" s="133">
        <v>1</v>
      </c>
      <c r="C37" s="133">
        <v>0</v>
      </c>
      <c r="D37" s="133">
        <v>0</v>
      </c>
      <c r="E37" s="134">
        <v>44980</v>
      </c>
    </row>
    <row r="38" spans="1:5" ht="24" customHeight="1" x14ac:dyDescent="0.3">
      <c r="A38" s="133" t="s">
        <v>25</v>
      </c>
      <c r="B38" s="133">
        <v>4.5</v>
      </c>
      <c r="C38" s="133">
        <v>0</v>
      </c>
      <c r="D38" s="133">
        <v>0</v>
      </c>
      <c r="E38" s="134">
        <v>44980</v>
      </c>
    </row>
    <row r="39" spans="1:5" ht="24" customHeight="1" x14ac:dyDescent="0.3">
      <c r="A39" s="133" t="s">
        <v>25</v>
      </c>
      <c r="B39" s="133">
        <v>4.5</v>
      </c>
      <c r="C39" s="133">
        <v>0</v>
      </c>
      <c r="D39" s="133">
        <v>0</v>
      </c>
      <c r="E39" s="134">
        <v>44981</v>
      </c>
    </row>
    <row r="40" spans="1:5" ht="24" customHeight="1" x14ac:dyDescent="0.3">
      <c r="A40" s="133" t="s">
        <v>25</v>
      </c>
      <c r="B40" s="133">
        <v>1</v>
      </c>
      <c r="C40" s="133">
        <v>0</v>
      </c>
      <c r="D40" s="133">
        <v>0</v>
      </c>
      <c r="E40" s="134">
        <v>44981</v>
      </c>
    </row>
    <row r="41" spans="1:5" ht="24" customHeight="1" x14ac:dyDescent="0.3">
      <c r="A41" s="133" t="s">
        <v>22</v>
      </c>
      <c r="B41" s="133">
        <v>0.9</v>
      </c>
      <c r="C41" s="133">
        <v>0</v>
      </c>
      <c r="D41" s="133">
        <v>0</v>
      </c>
      <c r="E41" s="134">
        <v>44981</v>
      </c>
    </row>
    <row r="42" spans="1:5" ht="24" customHeight="1" x14ac:dyDescent="0.3">
      <c r="A42" s="133" t="s">
        <v>25</v>
      </c>
      <c r="B42" s="133">
        <v>1.5</v>
      </c>
      <c r="C42" s="133">
        <v>0</v>
      </c>
      <c r="D42" s="133">
        <v>0</v>
      </c>
      <c r="E42" s="134">
        <v>44982</v>
      </c>
    </row>
    <row r="43" spans="1:5" ht="24" customHeight="1" x14ac:dyDescent="0.3">
      <c r="A43" s="133" t="s">
        <v>25</v>
      </c>
      <c r="B43" s="133">
        <v>1</v>
      </c>
      <c r="C43" s="133">
        <v>0</v>
      </c>
      <c r="D43" s="133">
        <v>0</v>
      </c>
      <c r="E43" s="134">
        <v>44982</v>
      </c>
    </row>
    <row r="44" spans="1:5" ht="24" customHeight="1" x14ac:dyDescent="0.3">
      <c r="A44" s="133" t="s">
        <v>25</v>
      </c>
      <c r="B44" s="133">
        <v>25.7</v>
      </c>
      <c r="C44" s="133">
        <v>0</v>
      </c>
      <c r="D44" s="133">
        <v>0</v>
      </c>
      <c r="E44" s="134">
        <v>44982</v>
      </c>
    </row>
    <row r="45" spans="1:5" ht="24" customHeight="1" x14ac:dyDescent="0.3">
      <c r="A45" s="133" t="s">
        <v>25</v>
      </c>
      <c r="B45" s="133">
        <v>6</v>
      </c>
      <c r="C45" s="133">
        <v>0</v>
      </c>
      <c r="D45" s="133">
        <v>0</v>
      </c>
      <c r="E45" s="134">
        <v>44983</v>
      </c>
    </row>
    <row r="46" spans="1:5" ht="24" customHeight="1" x14ac:dyDescent="0.3">
      <c r="A46" s="133" t="s">
        <v>22</v>
      </c>
      <c r="B46" s="133">
        <v>14.9</v>
      </c>
      <c r="C46" s="133">
        <v>0</v>
      </c>
      <c r="D46" s="133">
        <v>0</v>
      </c>
      <c r="E46" s="134">
        <v>44983</v>
      </c>
    </row>
    <row r="47" spans="1:5" ht="24" customHeight="1" x14ac:dyDescent="0.3">
      <c r="A47" s="133" t="s">
        <v>103</v>
      </c>
      <c r="B47" s="133">
        <v>1</v>
      </c>
      <c r="C47" s="133">
        <v>56.5</v>
      </c>
      <c r="D47" s="133">
        <v>0</v>
      </c>
      <c r="E47" s="134">
        <v>44984</v>
      </c>
    </row>
    <row r="48" spans="1:5" ht="24" customHeight="1" x14ac:dyDescent="0.3">
      <c r="A48" s="133" t="s">
        <v>25</v>
      </c>
      <c r="B48" s="133">
        <v>6</v>
      </c>
      <c r="C48" s="133">
        <v>0</v>
      </c>
      <c r="D48" s="133">
        <v>0</v>
      </c>
      <c r="E48" s="134">
        <v>44984</v>
      </c>
    </row>
    <row r="49" spans="1:5" ht="24" customHeight="1" x14ac:dyDescent="0.3">
      <c r="A49" s="133" t="s">
        <v>25</v>
      </c>
      <c r="B49" s="133">
        <v>1</v>
      </c>
      <c r="C49" s="133">
        <v>0</v>
      </c>
      <c r="D49" s="133">
        <v>0</v>
      </c>
      <c r="E49" s="134">
        <v>44984</v>
      </c>
    </row>
    <row r="50" spans="1:5" ht="24" customHeight="1" x14ac:dyDescent="0.3">
      <c r="A50" s="133" t="s">
        <v>19</v>
      </c>
      <c r="B50" s="133">
        <v>398</v>
      </c>
      <c r="C50" s="133">
        <v>56.5</v>
      </c>
      <c r="D50" s="133">
        <v>0</v>
      </c>
      <c r="E50" s="134">
        <v>44985</v>
      </c>
    </row>
    <row r="51" spans="1:5" ht="24" customHeight="1" x14ac:dyDescent="0.3">
      <c r="A51" s="133" t="s">
        <v>112</v>
      </c>
      <c r="B51" s="133">
        <v>0</v>
      </c>
      <c r="C51" s="133">
        <v>0</v>
      </c>
      <c r="D51" s="133">
        <v>0</v>
      </c>
      <c r="E51" s="134">
        <v>44985</v>
      </c>
    </row>
    <row r="52" spans="1:5" ht="24" customHeight="1" x14ac:dyDescent="0.3">
      <c r="A52" s="133" t="s">
        <v>25</v>
      </c>
      <c r="B52" s="133">
        <v>1</v>
      </c>
      <c r="C52" s="133">
        <v>0</v>
      </c>
      <c r="D52" s="133">
        <v>0</v>
      </c>
      <c r="E52" s="134">
        <v>44986</v>
      </c>
    </row>
    <row r="53" spans="1:5" s="89" customFormat="1" ht="24" customHeight="1" x14ac:dyDescent="0.3">
      <c r="A53" s="133" t="s">
        <v>25</v>
      </c>
      <c r="B53" s="133">
        <v>1</v>
      </c>
      <c r="C53" s="133">
        <v>0</v>
      </c>
      <c r="D53" s="133">
        <v>0</v>
      </c>
      <c r="E53" s="130">
        <v>44986</v>
      </c>
    </row>
    <row r="54" spans="1:5" ht="24" customHeight="1" x14ac:dyDescent="0.3">
      <c r="A54" s="129" t="s">
        <v>25</v>
      </c>
      <c r="B54" s="129">
        <v>0.5</v>
      </c>
      <c r="C54" s="129">
        <v>0</v>
      </c>
      <c r="D54" s="129">
        <v>0</v>
      </c>
      <c r="E54" s="130">
        <v>44986</v>
      </c>
    </row>
    <row r="55" spans="1:5" ht="24" customHeight="1" x14ac:dyDescent="0.3">
      <c r="A55" s="129" t="s">
        <v>103</v>
      </c>
      <c r="B55" s="129">
        <v>10</v>
      </c>
      <c r="C55" s="129">
        <v>56.5</v>
      </c>
      <c r="D55" s="129">
        <v>0</v>
      </c>
      <c r="E55" s="130">
        <v>44987</v>
      </c>
    </row>
    <row r="56" spans="1:5" ht="24" customHeight="1" x14ac:dyDescent="0.3">
      <c r="A56" s="129" t="s">
        <v>25</v>
      </c>
      <c r="B56" s="129">
        <v>6</v>
      </c>
      <c r="C56" s="129">
        <v>0</v>
      </c>
      <c r="D56" s="129">
        <v>0</v>
      </c>
      <c r="E56" s="130">
        <v>44987</v>
      </c>
    </row>
    <row r="57" spans="1:5" s="42" customFormat="1" ht="24" customHeight="1" x14ac:dyDescent="0.3">
      <c r="A57" s="129" t="s">
        <v>45</v>
      </c>
      <c r="B57" s="129">
        <v>5</v>
      </c>
      <c r="C57" s="129">
        <v>56.5</v>
      </c>
      <c r="D57" s="129">
        <v>0</v>
      </c>
      <c r="E57" s="130">
        <v>44988</v>
      </c>
    </row>
    <row r="58" spans="1:5" ht="24" customHeight="1" x14ac:dyDescent="0.3">
      <c r="A58" s="129" t="s">
        <v>25</v>
      </c>
      <c r="B58" s="129">
        <v>1</v>
      </c>
      <c r="C58" s="129">
        <v>0</v>
      </c>
      <c r="D58" s="129">
        <v>0</v>
      </c>
      <c r="E58" s="130">
        <v>44988</v>
      </c>
    </row>
    <row r="59" spans="1:5" ht="24" customHeight="1" x14ac:dyDescent="0.3">
      <c r="A59" s="129" t="s">
        <v>112</v>
      </c>
      <c r="B59" s="129">
        <v>0</v>
      </c>
      <c r="C59" s="129">
        <v>0</v>
      </c>
      <c r="D59" s="129">
        <v>0</v>
      </c>
      <c r="E59" s="130">
        <v>44989</v>
      </c>
    </row>
    <row r="60" spans="1:5" ht="24" customHeight="1" x14ac:dyDescent="0.3">
      <c r="A60" s="129" t="s">
        <v>45</v>
      </c>
      <c r="B60" s="129">
        <v>4.5</v>
      </c>
      <c r="C60" s="129">
        <v>56.5</v>
      </c>
      <c r="D60" s="129">
        <v>0</v>
      </c>
      <c r="E60" s="130">
        <v>44990</v>
      </c>
    </row>
    <row r="61" spans="1:5" ht="24" customHeight="1" x14ac:dyDescent="0.3">
      <c r="A61" s="129" t="s">
        <v>25</v>
      </c>
      <c r="B61" s="129">
        <v>1</v>
      </c>
      <c r="C61" s="129">
        <v>0</v>
      </c>
      <c r="D61" s="129">
        <v>0</v>
      </c>
      <c r="E61" s="130">
        <v>44990</v>
      </c>
    </row>
    <row r="62" spans="1:5" ht="24" customHeight="1" x14ac:dyDescent="0.3">
      <c r="A62" s="129" t="s">
        <v>22</v>
      </c>
      <c r="B62" s="129">
        <v>5.9</v>
      </c>
      <c r="C62" s="129">
        <v>0</v>
      </c>
      <c r="D62" s="129">
        <v>0</v>
      </c>
      <c r="E62" s="130">
        <v>44990</v>
      </c>
    </row>
    <row r="63" spans="1:5" ht="24" customHeight="1" x14ac:dyDescent="0.3">
      <c r="A63" s="129" t="s">
        <v>25</v>
      </c>
      <c r="B63" s="129">
        <v>6</v>
      </c>
      <c r="C63" s="129">
        <v>0</v>
      </c>
      <c r="D63" s="129">
        <v>0</v>
      </c>
      <c r="E63" s="130">
        <v>44991</v>
      </c>
    </row>
    <row r="64" spans="1:5" ht="24" customHeight="1" x14ac:dyDescent="0.3">
      <c r="A64" s="129" t="s">
        <v>25</v>
      </c>
      <c r="B64" s="129">
        <v>1</v>
      </c>
      <c r="C64" s="129">
        <v>0</v>
      </c>
      <c r="D64" s="129">
        <v>0</v>
      </c>
      <c r="E64" s="130">
        <v>44992</v>
      </c>
    </row>
    <row r="65" spans="1:5" ht="24" customHeight="1" x14ac:dyDescent="0.3">
      <c r="A65" s="129" t="s">
        <v>25</v>
      </c>
      <c r="B65" s="129">
        <v>1</v>
      </c>
      <c r="C65" s="129">
        <v>0</v>
      </c>
      <c r="D65" s="129">
        <v>0</v>
      </c>
      <c r="E65" s="130">
        <v>44992</v>
      </c>
    </row>
    <row r="66" spans="1:5" ht="24" customHeight="1" x14ac:dyDescent="0.3">
      <c r="A66" s="129" t="s">
        <v>25</v>
      </c>
      <c r="B66" s="129">
        <v>1</v>
      </c>
      <c r="C66" s="129">
        <v>0</v>
      </c>
      <c r="D66" s="129">
        <v>0</v>
      </c>
      <c r="E66" s="130">
        <v>44993</v>
      </c>
    </row>
    <row r="67" spans="1:5" ht="24" customHeight="1" x14ac:dyDescent="0.3">
      <c r="A67" s="129" t="s">
        <v>112</v>
      </c>
      <c r="B67" s="129">
        <v>0</v>
      </c>
      <c r="C67" s="129">
        <v>0</v>
      </c>
      <c r="D67" s="129">
        <v>0</v>
      </c>
      <c r="E67" s="130">
        <v>44994</v>
      </c>
    </row>
    <row r="68" spans="1:5" ht="24" customHeight="1" x14ac:dyDescent="0.3">
      <c r="A68" s="129" t="s">
        <v>25</v>
      </c>
      <c r="B68" s="129">
        <v>1</v>
      </c>
      <c r="C68" s="129">
        <v>0</v>
      </c>
      <c r="D68" s="129">
        <v>0</v>
      </c>
      <c r="E68" s="130">
        <v>44995</v>
      </c>
    </row>
    <row r="69" spans="1:5" ht="24" customHeight="1" x14ac:dyDescent="0.3">
      <c r="A69" s="129" t="s">
        <v>25</v>
      </c>
      <c r="B69" s="129">
        <v>6</v>
      </c>
      <c r="C69" s="129">
        <v>0</v>
      </c>
      <c r="D69" s="129">
        <v>0</v>
      </c>
      <c r="E69" s="130">
        <v>44995</v>
      </c>
    </row>
    <row r="70" spans="1:5" ht="24" customHeight="1" x14ac:dyDescent="0.3">
      <c r="A70" s="129" t="s">
        <v>103</v>
      </c>
      <c r="B70" s="129">
        <v>3.25</v>
      </c>
      <c r="C70" s="129">
        <v>56.5</v>
      </c>
      <c r="D70" s="129">
        <v>0</v>
      </c>
      <c r="E70" s="130">
        <v>44996</v>
      </c>
    </row>
    <row r="71" spans="1:5" ht="24" customHeight="1" x14ac:dyDescent="0.3">
      <c r="A71" s="129" t="s">
        <v>112</v>
      </c>
      <c r="B71" s="129">
        <v>0</v>
      </c>
      <c r="C71" s="129">
        <v>0</v>
      </c>
      <c r="D71" s="129">
        <v>0</v>
      </c>
      <c r="E71" s="130">
        <v>44996</v>
      </c>
    </row>
    <row r="72" spans="1:5" s="89" customFormat="1" ht="24" customHeight="1" x14ac:dyDescent="0.3">
      <c r="A72" s="129" t="s">
        <v>22</v>
      </c>
      <c r="B72" s="129">
        <v>1.85</v>
      </c>
      <c r="C72" s="129">
        <v>0</v>
      </c>
      <c r="D72" s="129">
        <v>0</v>
      </c>
      <c r="E72" s="130">
        <v>44996</v>
      </c>
    </row>
    <row r="73" spans="1:5" ht="24" customHeight="1" x14ac:dyDescent="0.3">
      <c r="A73" s="129" t="s">
        <v>22</v>
      </c>
      <c r="B73" s="129">
        <v>8.4</v>
      </c>
      <c r="C73" s="129">
        <v>0</v>
      </c>
      <c r="D73" s="129">
        <v>0</v>
      </c>
      <c r="E73" s="130">
        <v>44996</v>
      </c>
    </row>
    <row r="74" spans="1:5" ht="24" customHeight="1" x14ac:dyDescent="0.3">
      <c r="A74" s="129" t="s">
        <v>103</v>
      </c>
      <c r="B74" s="129">
        <v>2.75</v>
      </c>
      <c r="C74" s="129">
        <v>56.5</v>
      </c>
      <c r="D74" s="129">
        <v>0</v>
      </c>
      <c r="E74" s="130">
        <v>44997</v>
      </c>
    </row>
    <row r="75" spans="1:5" s="89" customFormat="1" ht="24" customHeight="1" x14ac:dyDescent="0.3">
      <c r="A75" s="129" t="s">
        <v>112</v>
      </c>
      <c r="B75" s="129">
        <v>0</v>
      </c>
      <c r="C75" s="129">
        <v>0</v>
      </c>
      <c r="D75" s="129">
        <v>0</v>
      </c>
      <c r="E75" s="130">
        <v>44997</v>
      </c>
    </row>
    <row r="76" spans="1:5" ht="24" customHeight="1" x14ac:dyDescent="0.3">
      <c r="A76" s="129" t="s">
        <v>25</v>
      </c>
      <c r="B76" s="129">
        <v>1</v>
      </c>
      <c r="C76" s="129">
        <v>0</v>
      </c>
      <c r="D76" s="129">
        <v>0</v>
      </c>
      <c r="E76" s="130">
        <v>44998</v>
      </c>
    </row>
    <row r="77" spans="1:5" ht="24" customHeight="1" x14ac:dyDescent="0.3">
      <c r="A77" s="129" t="s">
        <v>19</v>
      </c>
      <c r="B77" s="129">
        <v>0</v>
      </c>
      <c r="C77" s="129">
        <v>55.22</v>
      </c>
      <c r="D77" s="129">
        <v>11286</v>
      </c>
      <c r="E77" s="130">
        <v>44999</v>
      </c>
    </row>
    <row r="78" spans="1:5" ht="24" customHeight="1" x14ac:dyDescent="0.3">
      <c r="A78" s="129" t="s">
        <v>19</v>
      </c>
      <c r="B78" s="129">
        <v>0</v>
      </c>
      <c r="C78" s="129">
        <v>56.12</v>
      </c>
      <c r="D78" s="129">
        <v>11370</v>
      </c>
      <c r="E78" s="130">
        <v>44999</v>
      </c>
    </row>
    <row r="79" spans="1:5" ht="24" customHeight="1" x14ac:dyDescent="0.3">
      <c r="A79" s="129" t="s">
        <v>112</v>
      </c>
      <c r="B79" s="129">
        <v>0</v>
      </c>
      <c r="C79" s="129">
        <v>0</v>
      </c>
      <c r="D79" s="129">
        <v>0</v>
      </c>
      <c r="E79" s="130">
        <v>44999</v>
      </c>
    </row>
    <row r="80" spans="1:5" ht="24" customHeight="1" x14ac:dyDescent="0.3">
      <c r="A80" s="129" t="s">
        <v>112</v>
      </c>
      <c r="B80" s="129">
        <v>0</v>
      </c>
      <c r="C80" s="129">
        <v>0</v>
      </c>
      <c r="D80" s="129">
        <v>0</v>
      </c>
      <c r="E80" s="130">
        <v>45000</v>
      </c>
    </row>
    <row r="81" spans="1:5" ht="24" customHeight="1" x14ac:dyDescent="0.3">
      <c r="A81" s="129" t="s">
        <v>25</v>
      </c>
      <c r="B81" s="129">
        <v>1</v>
      </c>
      <c r="C81" s="129">
        <v>0</v>
      </c>
      <c r="D81" s="129">
        <v>0</v>
      </c>
      <c r="E81" s="130">
        <v>45001</v>
      </c>
    </row>
    <row r="82" spans="1:5" ht="24" customHeight="1" x14ac:dyDescent="0.3">
      <c r="A82" s="129" t="s">
        <v>45</v>
      </c>
      <c r="B82" s="129">
        <v>2.7</v>
      </c>
      <c r="C82" s="129">
        <v>56.5</v>
      </c>
      <c r="D82" s="129">
        <v>0</v>
      </c>
      <c r="E82" s="130">
        <v>45002</v>
      </c>
    </row>
    <row r="83" spans="1:5" ht="24" customHeight="1" x14ac:dyDescent="0.3">
      <c r="A83" s="129" t="s">
        <v>25</v>
      </c>
      <c r="B83" s="129">
        <v>1</v>
      </c>
      <c r="C83" s="129">
        <v>0</v>
      </c>
      <c r="D83" s="129">
        <v>0</v>
      </c>
      <c r="E83" s="130">
        <v>45002</v>
      </c>
    </row>
    <row r="84" spans="1:5" ht="24" customHeight="1" x14ac:dyDescent="0.3">
      <c r="A84" s="129" t="s">
        <v>25</v>
      </c>
      <c r="B84" s="129">
        <v>1</v>
      </c>
      <c r="C84" s="129">
        <v>0</v>
      </c>
      <c r="D84" s="129">
        <v>0</v>
      </c>
      <c r="E84" s="130">
        <v>45003</v>
      </c>
    </row>
    <row r="85" spans="1:5" ht="24" customHeight="1" x14ac:dyDescent="0.3">
      <c r="A85" s="129" t="s">
        <v>25</v>
      </c>
      <c r="B85" s="129">
        <v>3</v>
      </c>
      <c r="C85" s="129">
        <v>0</v>
      </c>
      <c r="D85" s="129">
        <v>0</v>
      </c>
      <c r="E85" s="130">
        <v>45003</v>
      </c>
    </row>
    <row r="86" spans="1:5" ht="24" customHeight="1" x14ac:dyDescent="0.3">
      <c r="A86" s="129" t="s">
        <v>25</v>
      </c>
      <c r="B86" s="129">
        <v>12.7</v>
      </c>
      <c r="C86" s="129">
        <v>0</v>
      </c>
      <c r="D86" s="129">
        <v>0</v>
      </c>
      <c r="E86" s="130">
        <v>45003</v>
      </c>
    </row>
    <row r="87" spans="1:5" ht="24" customHeight="1" x14ac:dyDescent="0.3">
      <c r="A87" s="129" t="s">
        <v>22</v>
      </c>
      <c r="B87" s="129">
        <v>9.1750000000000007</v>
      </c>
      <c r="C87" s="129">
        <v>0</v>
      </c>
      <c r="D87" s="129">
        <v>0</v>
      </c>
      <c r="E87" s="130">
        <v>45003</v>
      </c>
    </row>
    <row r="88" spans="1:5" ht="24" customHeight="1" x14ac:dyDescent="0.3">
      <c r="A88" s="129" t="s">
        <v>22</v>
      </c>
      <c r="B88" s="129">
        <v>8.7750000000000004</v>
      </c>
      <c r="C88" s="129">
        <v>0</v>
      </c>
      <c r="D88" s="129">
        <v>0</v>
      </c>
      <c r="E88" s="130">
        <v>45003</v>
      </c>
    </row>
    <row r="89" spans="1:5" ht="24" customHeight="1" x14ac:dyDescent="0.3">
      <c r="A89" s="129" t="s">
        <v>25</v>
      </c>
      <c r="B89" s="129">
        <v>1</v>
      </c>
      <c r="C89" s="129">
        <v>0</v>
      </c>
      <c r="D89" s="129">
        <v>0</v>
      </c>
      <c r="E89" s="130">
        <v>45004</v>
      </c>
    </row>
    <row r="90" spans="1:5" ht="24" customHeight="1" x14ac:dyDescent="0.3">
      <c r="A90" s="129" t="s">
        <v>25</v>
      </c>
      <c r="B90" s="129">
        <v>8.6199999999999992</v>
      </c>
      <c r="C90" s="129">
        <v>0</v>
      </c>
      <c r="D90" s="129">
        <v>0</v>
      </c>
      <c r="E90" s="130">
        <v>45004</v>
      </c>
    </row>
    <row r="91" spans="1:5" ht="24" customHeight="1" x14ac:dyDescent="0.3">
      <c r="A91" s="129" t="s">
        <v>25</v>
      </c>
      <c r="B91" s="129">
        <v>1</v>
      </c>
      <c r="C91" s="129">
        <v>0</v>
      </c>
      <c r="D91" s="129">
        <v>0</v>
      </c>
      <c r="E91" s="130">
        <v>45005</v>
      </c>
    </row>
    <row r="92" spans="1:5" ht="24" customHeight="1" x14ac:dyDescent="0.3">
      <c r="A92" s="129" t="s">
        <v>25</v>
      </c>
      <c r="B92" s="129">
        <v>2</v>
      </c>
      <c r="C92" s="129">
        <v>0</v>
      </c>
      <c r="D92" s="129">
        <v>0</v>
      </c>
      <c r="E92" s="130">
        <v>45006</v>
      </c>
    </row>
    <row r="93" spans="1:5" ht="24" customHeight="1" x14ac:dyDescent="0.3">
      <c r="A93" s="129" t="s">
        <v>28</v>
      </c>
      <c r="B93" s="129">
        <v>5</v>
      </c>
      <c r="C93" s="129">
        <v>56.5</v>
      </c>
      <c r="D93" s="129">
        <v>0</v>
      </c>
      <c r="E93" s="130">
        <v>45007</v>
      </c>
    </row>
    <row r="94" spans="1:5" ht="24" customHeight="1" x14ac:dyDescent="0.3">
      <c r="A94" s="129" t="s">
        <v>25</v>
      </c>
      <c r="B94" s="129">
        <v>1</v>
      </c>
      <c r="C94" s="129">
        <v>0</v>
      </c>
      <c r="D94" s="129">
        <v>0</v>
      </c>
      <c r="E94" s="130">
        <v>45007</v>
      </c>
    </row>
    <row r="95" spans="1:5" s="89" customFormat="1" ht="24" customHeight="1" x14ac:dyDescent="0.3">
      <c r="A95" s="129" t="s">
        <v>25</v>
      </c>
      <c r="B95" s="129">
        <v>6</v>
      </c>
      <c r="C95" s="129">
        <v>0</v>
      </c>
      <c r="D95" s="129">
        <v>0</v>
      </c>
      <c r="E95" s="130">
        <v>45007</v>
      </c>
    </row>
    <row r="96" spans="1:5" ht="24" customHeight="1" x14ac:dyDescent="0.3">
      <c r="A96" s="129" t="s">
        <v>25</v>
      </c>
      <c r="B96" s="129">
        <v>8</v>
      </c>
      <c r="C96" s="129">
        <v>0</v>
      </c>
      <c r="D96" s="129">
        <v>0</v>
      </c>
      <c r="E96" s="130">
        <v>45008</v>
      </c>
    </row>
    <row r="97" spans="1:5" ht="24" customHeight="1" x14ac:dyDescent="0.3">
      <c r="A97" s="129" t="s">
        <v>25</v>
      </c>
      <c r="B97" s="129">
        <v>1</v>
      </c>
      <c r="C97" s="129">
        <v>0</v>
      </c>
      <c r="D97" s="129">
        <v>0</v>
      </c>
      <c r="E97" s="130">
        <v>45008</v>
      </c>
    </row>
    <row r="98" spans="1:5" ht="24" customHeight="1" x14ac:dyDescent="0.3">
      <c r="A98" s="129" t="s">
        <v>102</v>
      </c>
      <c r="B98" s="129">
        <v>53.1</v>
      </c>
      <c r="C98" s="129">
        <v>56.5</v>
      </c>
      <c r="D98" s="129">
        <v>0</v>
      </c>
      <c r="E98" s="130">
        <v>45009</v>
      </c>
    </row>
    <row r="99" spans="1:5" ht="24" customHeight="1" x14ac:dyDescent="0.3">
      <c r="A99" s="129" t="s">
        <v>112</v>
      </c>
      <c r="B99" s="129">
        <v>0</v>
      </c>
      <c r="C99" s="129">
        <v>0</v>
      </c>
      <c r="D99" s="129">
        <v>0</v>
      </c>
      <c r="E99" s="130">
        <v>45009</v>
      </c>
    </row>
    <row r="100" spans="1:5" ht="24" customHeight="1" x14ac:dyDescent="0.3">
      <c r="A100" s="129" t="s">
        <v>25</v>
      </c>
      <c r="B100" s="129">
        <v>1</v>
      </c>
      <c r="C100" s="129">
        <v>0</v>
      </c>
      <c r="D100" s="129">
        <v>0</v>
      </c>
      <c r="E100" s="130">
        <v>45010</v>
      </c>
    </row>
    <row r="101" spans="1:5" ht="24" customHeight="1" x14ac:dyDescent="0.3">
      <c r="A101" s="129" t="s">
        <v>25</v>
      </c>
      <c r="B101" s="129">
        <v>7.5</v>
      </c>
      <c r="C101" s="129">
        <v>0</v>
      </c>
      <c r="D101" s="129">
        <v>0</v>
      </c>
      <c r="E101" s="130">
        <v>45010</v>
      </c>
    </row>
    <row r="102" spans="1:5" ht="24" customHeight="1" x14ac:dyDescent="0.3">
      <c r="A102" s="129" t="s">
        <v>112</v>
      </c>
      <c r="B102" s="129">
        <v>0</v>
      </c>
      <c r="C102" s="129">
        <v>0</v>
      </c>
      <c r="D102" s="129">
        <v>0</v>
      </c>
      <c r="E102" s="130">
        <v>45011</v>
      </c>
    </row>
    <row r="103" spans="1:5" ht="24" customHeight="1" x14ac:dyDescent="0.3">
      <c r="A103" s="129" t="s">
        <v>22</v>
      </c>
      <c r="B103" s="129">
        <v>9.8000000000000007</v>
      </c>
      <c r="C103" s="129">
        <v>0</v>
      </c>
      <c r="D103" s="129">
        <v>0</v>
      </c>
      <c r="E103" s="130">
        <v>45011</v>
      </c>
    </row>
    <row r="104" spans="1:5" ht="24" customHeight="1" x14ac:dyDescent="0.3">
      <c r="A104" s="129" t="s">
        <v>112</v>
      </c>
      <c r="B104" s="129">
        <v>0</v>
      </c>
      <c r="C104" s="129">
        <v>0</v>
      </c>
      <c r="D104" s="129">
        <v>0</v>
      </c>
      <c r="E104" s="130">
        <v>45012</v>
      </c>
    </row>
    <row r="105" spans="1:5" ht="24" customHeight="1" x14ac:dyDescent="0.3">
      <c r="A105" s="129" t="s">
        <v>19</v>
      </c>
      <c r="B105" s="129">
        <v>0</v>
      </c>
      <c r="C105" s="129">
        <v>55.65</v>
      </c>
      <c r="D105" s="129">
        <v>22365</v>
      </c>
      <c r="E105" s="130">
        <v>45013</v>
      </c>
    </row>
    <row r="106" spans="1:5" ht="24" customHeight="1" x14ac:dyDescent="0.3">
      <c r="A106" s="129" t="s">
        <v>112</v>
      </c>
      <c r="B106" s="129">
        <v>0</v>
      </c>
      <c r="C106" s="129">
        <v>0</v>
      </c>
      <c r="D106" s="129">
        <v>0</v>
      </c>
      <c r="E106" s="130">
        <v>45013</v>
      </c>
    </row>
    <row r="107" spans="1:5" ht="24" customHeight="1" x14ac:dyDescent="0.3">
      <c r="A107" s="129" t="s">
        <v>25</v>
      </c>
      <c r="B107" s="129">
        <v>1</v>
      </c>
      <c r="C107" s="129">
        <v>0</v>
      </c>
      <c r="D107" s="129">
        <v>0</v>
      </c>
      <c r="E107" s="130">
        <v>45014</v>
      </c>
    </row>
    <row r="108" spans="1:5" ht="24" customHeight="1" x14ac:dyDescent="0.3">
      <c r="A108" s="129" t="s">
        <v>25</v>
      </c>
      <c r="B108" s="129">
        <v>6</v>
      </c>
      <c r="C108" s="129">
        <v>0</v>
      </c>
      <c r="D108" s="129">
        <v>0</v>
      </c>
      <c r="E108" s="130">
        <v>45015</v>
      </c>
    </row>
    <row r="109" spans="1:5" ht="24" customHeight="1" x14ac:dyDescent="0.3">
      <c r="A109" s="129" t="s">
        <v>25</v>
      </c>
      <c r="B109" s="129">
        <v>1</v>
      </c>
      <c r="C109" s="129">
        <v>0</v>
      </c>
      <c r="D109" s="129">
        <v>0</v>
      </c>
      <c r="E109" s="130">
        <v>45015</v>
      </c>
    </row>
    <row r="110" spans="1:5" ht="24" customHeight="1" x14ac:dyDescent="0.3">
      <c r="A110" s="129" t="s">
        <v>25</v>
      </c>
      <c r="B110" s="129">
        <v>1</v>
      </c>
      <c r="C110" s="129">
        <v>0</v>
      </c>
      <c r="D110" s="129">
        <v>0</v>
      </c>
      <c r="E110" s="130">
        <v>45016</v>
      </c>
    </row>
    <row r="111" spans="1:5" ht="24" customHeight="1" x14ac:dyDescent="0.3">
      <c r="A111" s="129" t="s">
        <v>45</v>
      </c>
      <c r="B111" s="129">
        <v>5</v>
      </c>
      <c r="C111" s="129">
        <v>0</v>
      </c>
      <c r="D111" s="129">
        <v>0</v>
      </c>
      <c r="E111" s="130">
        <v>45017</v>
      </c>
    </row>
    <row r="112" spans="1:5" ht="24" customHeight="1" x14ac:dyDescent="0.3">
      <c r="A112" s="129" t="s">
        <v>25</v>
      </c>
      <c r="B112" s="129">
        <v>0.8</v>
      </c>
      <c r="C112" s="129">
        <v>0</v>
      </c>
      <c r="D112" s="129">
        <v>0</v>
      </c>
      <c r="E112" s="130">
        <v>45017</v>
      </c>
    </row>
    <row r="113" spans="1:5" ht="24" customHeight="1" x14ac:dyDescent="0.3">
      <c r="A113" s="129" t="s">
        <v>25</v>
      </c>
      <c r="B113" s="129">
        <v>3</v>
      </c>
      <c r="C113" s="129">
        <v>0</v>
      </c>
      <c r="D113" s="129">
        <v>0</v>
      </c>
      <c r="E113" s="130">
        <v>45017</v>
      </c>
    </row>
    <row r="114" spans="1:5" ht="24" customHeight="1" x14ac:dyDescent="0.3">
      <c r="A114" s="129" t="s">
        <v>112</v>
      </c>
      <c r="B114" s="129">
        <v>0</v>
      </c>
      <c r="C114" s="129">
        <v>0</v>
      </c>
      <c r="D114" s="129">
        <v>0</v>
      </c>
      <c r="E114" s="130">
        <v>45018</v>
      </c>
    </row>
    <row r="115" spans="1:5" ht="24" customHeight="1" x14ac:dyDescent="0.3">
      <c r="A115" s="129" t="s">
        <v>25</v>
      </c>
      <c r="B115" s="129">
        <v>1</v>
      </c>
      <c r="C115" s="129">
        <v>0</v>
      </c>
      <c r="D115" s="129">
        <v>0</v>
      </c>
      <c r="E115" s="130">
        <v>45019</v>
      </c>
    </row>
    <row r="116" spans="1:5" ht="24" customHeight="1" x14ac:dyDescent="0.3">
      <c r="A116" s="129" t="s">
        <v>45</v>
      </c>
      <c r="B116" s="129">
        <v>16</v>
      </c>
      <c r="C116" s="129">
        <v>0</v>
      </c>
      <c r="D116" s="129">
        <v>0</v>
      </c>
      <c r="E116" s="130">
        <v>45020</v>
      </c>
    </row>
    <row r="117" spans="1:5" ht="24" customHeight="1" x14ac:dyDescent="0.3">
      <c r="A117" s="129" t="s">
        <v>103</v>
      </c>
      <c r="B117" s="129">
        <v>28</v>
      </c>
      <c r="C117" s="129">
        <v>0</v>
      </c>
      <c r="D117" s="129">
        <v>0</v>
      </c>
      <c r="E117" s="130">
        <v>45020</v>
      </c>
    </row>
    <row r="118" spans="1:5" ht="24" customHeight="1" x14ac:dyDescent="0.3">
      <c r="A118" s="129" t="s">
        <v>25</v>
      </c>
      <c r="B118" s="129">
        <v>3</v>
      </c>
      <c r="C118" s="129">
        <v>0</v>
      </c>
      <c r="D118" s="129">
        <v>0</v>
      </c>
      <c r="E118" s="130">
        <v>45020</v>
      </c>
    </row>
    <row r="119" spans="1:5" ht="24" customHeight="1" x14ac:dyDescent="0.3">
      <c r="A119" s="129" t="s">
        <v>25</v>
      </c>
      <c r="B119" s="129">
        <v>7.5</v>
      </c>
      <c r="C119" s="129">
        <v>0</v>
      </c>
      <c r="D119" s="129">
        <v>0</v>
      </c>
      <c r="E119" s="130">
        <v>45021</v>
      </c>
    </row>
    <row r="120" spans="1:5" ht="24" customHeight="1" x14ac:dyDescent="0.3">
      <c r="A120" s="129" t="s">
        <v>25</v>
      </c>
      <c r="B120" s="129">
        <v>1</v>
      </c>
      <c r="C120" s="129">
        <v>0</v>
      </c>
      <c r="D120" s="129">
        <v>0</v>
      </c>
      <c r="E120" s="130">
        <v>45021</v>
      </c>
    </row>
    <row r="121" spans="1:5" ht="24" customHeight="1" x14ac:dyDescent="0.3">
      <c r="A121" s="129" t="s">
        <v>25</v>
      </c>
      <c r="B121" s="129">
        <v>3</v>
      </c>
      <c r="C121" s="129">
        <v>0</v>
      </c>
      <c r="D121" s="129">
        <v>0</v>
      </c>
      <c r="E121" s="130">
        <v>45022</v>
      </c>
    </row>
    <row r="122" spans="1:5" ht="24" customHeight="1" x14ac:dyDescent="0.3">
      <c r="A122" s="129" t="s">
        <v>25</v>
      </c>
      <c r="B122" s="129">
        <v>1</v>
      </c>
      <c r="C122" s="129">
        <v>0</v>
      </c>
      <c r="D122" s="129">
        <v>0</v>
      </c>
      <c r="E122" s="130">
        <v>45022</v>
      </c>
    </row>
    <row r="123" spans="1:5" ht="24" customHeight="1" x14ac:dyDescent="0.3">
      <c r="A123" s="129" t="s">
        <v>25</v>
      </c>
      <c r="B123" s="129">
        <v>2</v>
      </c>
      <c r="C123" s="129">
        <v>0</v>
      </c>
      <c r="D123" s="129">
        <v>0</v>
      </c>
      <c r="E123" s="130">
        <v>45023</v>
      </c>
    </row>
    <row r="124" spans="1:5" ht="24" customHeight="1" x14ac:dyDescent="0.3">
      <c r="A124" s="129" t="s">
        <v>25</v>
      </c>
      <c r="B124" s="129">
        <v>29.03</v>
      </c>
      <c r="C124" s="129">
        <v>0</v>
      </c>
      <c r="D124" s="129">
        <v>0</v>
      </c>
      <c r="E124" s="130">
        <v>45023</v>
      </c>
    </row>
    <row r="125" spans="1:5" ht="24" customHeight="1" x14ac:dyDescent="0.3">
      <c r="A125" s="129" t="s">
        <v>25</v>
      </c>
      <c r="B125" s="129">
        <v>2</v>
      </c>
      <c r="C125" s="129">
        <v>0</v>
      </c>
      <c r="D125" s="129">
        <v>0</v>
      </c>
      <c r="E125" s="130">
        <v>45024</v>
      </c>
    </row>
    <row r="126" spans="1:5" ht="24" customHeight="1" x14ac:dyDescent="0.3">
      <c r="A126" s="129" t="s">
        <v>25</v>
      </c>
      <c r="B126" s="129">
        <v>4.8</v>
      </c>
      <c r="C126" s="129">
        <v>0</v>
      </c>
      <c r="D126" s="129">
        <v>0</v>
      </c>
      <c r="E126" s="130">
        <v>45024</v>
      </c>
    </row>
    <row r="127" spans="1:5" ht="24" customHeight="1" x14ac:dyDescent="0.3">
      <c r="A127" s="129" t="s">
        <v>22</v>
      </c>
      <c r="B127" s="129">
        <v>12</v>
      </c>
      <c r="C127" s="129">
        <v>0</v>
      </c>
      <c r="D127" s="129">
        <v>0</v>
      </c>
      <c r="E127" s="130">
        <v>45025</v>
      </c>
    </row>
    <row r="128" spans="1:5" ht="24" customHeight="1" x14ac:dyDescent="0.3">
      <c r="A128" s="129" t="s">
        <v>22</v>
      </c>
      <c r="B128" s="129">
        <v>12.35</v>
      </c>
      <c r="C128" s="129">
        <v>0</v>
      </c>
      <c r="D128" s="129">
        <v>0</v>
      </c>
      <c r="E128" s="130">
        <v>45025</v>
      </c>
    </row>
    <row r="129" spans="1:5" ht="24" customHeight="1" x14ac:dyDescent="0.3">
      <c r="A129" s="129" t="s">
        <v>45</v>
      </c>
      <c r="B129" s="129">
        <v>9</v>
      </c>
      <c r="C129" s="129">
        <v>0</v>
      </c>
      <c r="D129" s="129">
        <v>0</v>
      </c>
      <c r="E129" s="130">
        <v>45026</v>
      </c>
    </row>
    <row r="130" spans="1:5" ht="24" customHeight="1" x14ac:dyDescent="0.3">
      <c r="A130" s="129" t="s">
        <v>25</v>
      </c>
      <c r="B130" s="129">
        <v>1</v>
      </c>
      <c r="C130" s="129">
        <v>0</v>
      </c>
      <c r="D130" s="129">
        <v>0</v>
      </c>
      <c r="E130" s="130">
        <v>45026</v>
      </c>
    </row>
    <row r="131" spans="1:5" ht="24" customHeight="1" x14ac:dyDescent="0.3">
      <c r="A131" s="129" t="s">
        <v>19</v>
      </c>
      <c r="B131" s="129">
        <v>250</v>
      </c>
      <c r="C131" s="129">
        <v>0</v>
      </c>
      <c r="D131" s="129">
        <v>0</v>
      </c>
      <c r="E131" s="130">
        <v>45027</v>
      </c>
    </row>
    <row r="132" spans="1:5" ht="24" customHeight="1" x14ac:dyDescent="0.3">
      <c r="A132" s="129" t="s">
        <v>19</v>
      </c>
      <c r="B132" s="129">
        <v>3.64</v>
      </c>
      <c r="C132" s="129">
        <v>0</v>
      </c>
      <c r="D132" s="129">
        <v>0</v>
      </c>
      <c r="E132" s="130">
        <v>45027</v>
      </c>
    </row>
    <row r="133" spans="1:5" ht="24" customHeight="1" x14ac:dyDescent="0.3">
      <c r="A133" s="129" t="s">
        <v>25</v>
      </c>
      <c r="B133" s="129">
        <v>1</v>
      </c>
      <c r="C133" s="129">
        <v>0</v>
      </c>
      <c r="D133" s="129">
        <v>0</v>
      </c>
      <c r="E133" s="130">
        <v>45027</v>
      </c>
    </row>
    <row r="134" spans="1:5" ht="24" customHeight="1" x14ac:dyDescent="0.3">
      <c r="A134" s="129" t="s">
        <v>103</v>
      </c>
      <c r="B134" s="129">
        <v>1.4</v>
      </c>
      <c r="C134" s="129">
        <v>0</v>
      </c>
      <c r="D134" s="129">
        <v>0</v>
      </c>
      <c r="E134" s="130">
        <v>45028</v>
      </c>
    </row>
    <row r="135" spans="1:5" ht="24" customHeight="1" x14ac:dyDescent="0.3">
      <c r="A135" s="129" t="s">
        <v>19</v>
      </c>
      <c r="B135" s="129">
        <v>144.32</v>
      </c>
      <c r="C135" s="129">
        <v>0</v>
      </c>
      <c r="D135" s="129">
        <v>0</v>
      </c>
      <c r="E135" s="130">
        <v>45028</v>
      </c>
    </row>
    <row r="136" spans="1:5" ht="24" customHeight="1" x14ac:dyDescent="0.3">
      <c r="A136" s="129" t="s">
        <v>25</v>
      </c>
      <c r="B136" s="129">
        <v>3</v>
      </c>
      <c r="C136" s="129">
        <v>0</v>
      </c>
      <c r="D136" s="129">
        <v>0</v>
      </c>
      <c r="E136" s="130">
        <v>45028</v>
      </c>
    </row>
    <row r="137" spans="1:5" ht="24" customHeight="1" x14ac:dyDescent="0.3">
      <c r="A137" s="129" t="s">
        <v>25</v>
      </c>
      <c r="B137" s="129">
        <v>7.5</v>
      </c>
      <c r="C137" s="129">
        <v>0</v>
      </c>
      <c r="D137" s="129">
        <v>0</v>
      </c>
      <c r="E137" s="130">
        <v>45028</v>
      </c>
    </row>
    <row r="138" spans="1:5" ht="24" customHeight="1" x14ac:dyDescent="0.3">
      <c r="A138" s="129" t="s">
        <v>25</v>
      </c>
      <c r="B138" s="129">
        <v>1</v>
      </c>
      <c r="C138" s="129">
        <v>0</v>
      </c>
      <c r="D138" s="129">
        <v>0</v>
      </c>
      <c r="E138" s="130">
        <v>45028</v>
      </c>
    </row>
    <row r="139" spans="1:5" ht="24" customHeight="1" x14ac:dyDescent="0.3">
      <c r="A139" s="129" t="s">
        <v>104</v>
      </c>
      <c r="B139" s="129">
        <v>53.1</v>
      </c>
      <c r="C139" s="129">
        <v>0</v>
      </c>
      <c r="D139" s="129">
        <v>0</v>
      </c>
      <c r="E139" s="130">
        <v>45029</v>
      </c>
    </row>
    <row r="140" spans="1:5" ht="24" customHeight="1" x14ac:dyDescent="0.3">
      <c r="A140" s="129" t="s">
        <v>103</v>
      </c>
      <c r="B140" s="129">
        <v>59.75</v>
      </c>
      <c r="C140" s="129">
        <v>0</v>
      </c>
      <c r="D140" s="129">
        <v>0</v>
      </c>
      <c r="E140" s="130">
        <v>45029</v>
      </c>
    </row>
    <row r="141" spans="1:5" ht="24" customHeight="1" x14ac:dyDescent="0.3">
      <c r="A141" s="129" t="s">
        <v>28</v>
      </c>
      <c r="B141" s="129">
        <v>10</v>
      </c>
      <c r="C141" s="129">
        <v>0</v>
      </c>
      <c r="D141" s="129">
        <v>0</v>
      </c>
      <c r="E141" s="130">
        <v>45029</v>
      </c>
    </row>
    <row r="142" spans="1:5" ht="24" customHeight="1" x14ac:dyDescent="0.3">
      <c r="A142" s="129" t="s">
        <v>25</v>
      </c>
      <c r="B142" s="129">
        <v>19.989999999999998</v>
      </c>
      <c r="C142" s="129">
        <v>0</v>
      </c>
      <c r="D142" s="129">
        <v>0</v>
      </c>
      <c r="E142" s="130">
        <v>45029</v>
      </c>
    </row>
    <row r="143" spans="1:5" ht="24" customHeight="1" x14ac:dyDescent="0.3">
      <c r="A143" s="129" t="s">
        <v>25</v>
      </c>
      <c r="B143" s="129">
        <v>0.4</v>
      </c>
      <c r="C143" s="129">
        <v>0</v>
      </c>
      <c r="D143" s="129">
        <v>0</v>
      </c>
      <c r="E143" s="130">
        <v>45030</v>
      </c>
    </row>
    <row r="144" spans="1:5" ht="24" customHeight="1" x14ac:dyDescent="0.3">
      <c r="A144" s="129" t="s">
        <v>103</v>
      </c>
      <c r="B144" s="129">
        <v>20</v>
      </c>
      <c r="C144" s="129">
        <v>0</v>
      </c>
      <c r="D144" s="129">
        <v>0</v>
      </c>
      <c r="E144" s="130">
        <v>45031</v>
      </c>
    </row>
    <row r="145" spans="1:5" ht="24" customHeight="1" x14ac:dyDescent="0.3">
      <c r="A145" s="129" t="s">
        <v>25</v>
      </c>
      <c r="B145" s="129">
        <v>7.5</v>
      </c>
      <c r="C145" s="129">
        <v>0</v>
      </c>
      <c r="D145" s="129">
        <v>0</v>
      </c>
      <c r="E145" s="130">
        <v>45031</v>
      </c>
    </row>
    <row r="146" spans="1:5" ht="24" customHeight="1" x14ac:dyDescent="0.3">
      <c r="A146" s="129" t="s">
        <v>25</v>
      </c>
      <c r="B146" s="129">
        <v>4</v>
      </c>
      <c r="C146" s="129">
        <v>0</v>
      </c>
      <c r="D146" s="129">
        <v>0</v>
      </c>
      <c r="E146" s="130">
        <v>45031</v>
      </c>
    </row>
    <row r="147" spans="1:5" ht="24" customHeight="1" x14ac:dyDescent="0.3">
      <c r="A147" s="129" t="s">
        <v>112</v>
      </c>
      <c r="B147" s="129">
        <v>0</v>
      </c>
      <c r="C147" s="129">
        <v>0</v>
      </c>
      <c r="D147" s="129">
        <v>0</v>
      </c>
      <c r="E147" s="130">
        <v>45032</v>
      </c>
    </row>
    <row r="148" spans="1:5" ht="24" customHeight="1" x14ac:dyDescent="0.3">
      <c r="A148" s="129" t="s">
        <v>112</v>
      </c>
      <c r="B148" s="129">
        <v>0</v>
      </c>
      <c r="C148" s="129">
        <v>0</v>
      </c>
      <c r="D148" s="129">
        <v>0</v>
      </c>
      <c r="E148" s="130">
        <v>45033</v>
      </c>
    </row>
    <row r="149" spans="1:5" ht="24" customHeight="1" x14ac:dyDescent="0.3">
      <c r="A149" s="129" t="s">
        <v>25</v>
      </c>
      <c r="B149" s="129">
        <v>9</v>
      </c>
      <c r="C149" s="129">
        <v>0</v>
      </c>
      <c r="D149" s="129">
        <v>0</v>
      </c>
      <c r="E149" s="130">
        <v>45034</v>
      </c>
    </row>
    <row r="150" spans="1:5" ht="24" customHeight="1" x14ac:dyDescent="0.3">
      <c r="A150" s="129" t="s">
        <v>25</v>
      </c>
      <c r="B150" s="129">
        <v>1</v>
      </c>
      <c r="C150" s="129">
        <v>0</v>
      </c>
      <c r="D150" s="129">
        <v>0</v>
      </c>
      <c r="E150" s="130">
        <v>45034</v>
      </c>
    </row>
    <row r="151" spans="1:5" ht="24" customHeight="1" x14ac:dyDescent="0.3">
      <c r="A151" s="129" t="s">
        <v>25</v>
      </c>
      <c r="B151" s="129">
        <v>1</v>
      </c>
      <c r="C151" s="129">
        <v>0</v>
      </c>
      <c r="D151" s="129">
        <v>0</v>
      </c>
      <c r="E151" s="130">
        <v>45035</v>
      </c>
    </row>
    <row r="152" spans="1:5" ht="24" customHeight="1" x14ac:dyDescent="0.3">
      <c r="A152" s="129" t="s">
        <v>25</v>
      </c>
      <c r="B152" s="129">
        <v>7</v>
      </c>
      <c r="C152" s="129">
        <v>0</v>
      </c>
      <c r="D152" s="129">
        <v>0</v>
      </c>
      <c r="E152" s="130">
        <v>45036</v>
      </c>
    </row>
    <row r="153" spans="1:5" ht="24" customHeight="1" x14ac:dyDescent="0.3">
      <c r="A153" s="129" t="s">
        <v>25</v>
      </c>
      <c r="B153" s="129">
        <v>5.95</v>
      </c>
      <c r="C153" s="129">
        <v>0</v>
      </c>
      <c r="D153" s="129">
        <v>0</v>
      </c>
      <c r="E153" s="130">
        <v>45037</v>
      </c>
    </row>
    <row r="154" spans="1:5" ht="24" customHeight="1" x14ac:dyDescent="0.3">
      <c r="A154" s="129" t="s">
        <v>25</v>
      </c>
      <c r="B154" s="129">
        <v>29.15</v>
      </c>
      <c r="C154" s="129">
        <v>0</v>
      </c>
      <c r="D154" s="129">
        <v>0</v>
      </c>
      <c r="E154" s="130">
        <v>45038</v>
      </c>
    </row>
    <row r="155" spans="1:5" ht="24" customHeight="1" x14ac:dyDescent="0.3">
      <c r="A155" s="129" t="s">
        <v>25</v>
      </c>
      <c r="B155" s="129">
        <v>1</v>
      </c>
      <c r="C155" s="129">
        <v>0</v>
      </c>
      <c r="D155" s="129">
        <v>0</v>
      </c>
      <c r="E155" s="130">
        <v>45038</v>
      </c>
    </row>
    <row r="156" spans="1:5" ht="24" customHeight="1" x14ac:dyDescent="0.3">
      <c r="A156" s="129" t="s">
        <v>22</v>
      </c>
      <c r="B156" s="129">
        <v>16.16</v>
      </c>
      <c r="C156" s="129">
        <v>0</v>
      </c>
      <c r="D156" s="129">
        <v>0</v>
      </c>
      <c r="E156" s="130">
        <v>45039</v>
      </c>
    </row>
    <row r="157" spans="1:5" ht="24" customHeight="1" x14ac:dyDescent="0.3">
      <c r="A157" s="129" t="s">
        <v>22</v>
      </c>
      <c r="B157" s="129">
        <v>10.65</v>
      </c>
      <c r="C157" s="129">
        <v>0</v>
      </c>
      <c r="D157" s="129">
        <v>0</v>
      </c>
      <c r="E157" s="130">
        <v>45039</v>
      </c>
    </row>
    <row r="158" spans="1:5" ht="24" customHeight="1" x14ac:dyDescent="0.3">
      <c r="A158" s="129" t="s">
        <v>22</v>
      </c>
      <c r="B158" s="129">
        <v>8.5</v>
      </c>
      <c r="C158" s="129">
        <v>0</v>
      </c>
      <c r="D158" s="129">
        <v>0</v>
      </c>
      <c r="E158" s="130">
        <v>45040</v>
      </c>
    </row>
    <row r="159" spans="1:5" ht="24" customHeight="1" x14ac:dyDescent="0.3">
      <c r="A159" s="129" t="s">
        <v>22</v>
      </c>
      <c r="B159" s="129">
        <v>7.625</v>
      </c>
      <c r="C159" s="129">
        <v>0</v>
      </c>
      <c r="D159" s="129">
        <v>0</v>
      </c>
      <c r="E159" s="130">
        <v>45040</v>
      </c>
    </row>
    <row r="160" spans="1:5" ht="24" customHeight="1" x14ac:dyDescent="0.3">
      <c r="A160" s="129" t="s">
        <v>25</v>
      </c>
      <c r="B160" s="129">
        <v>1</v>
      </c>
      <c r="C160" s="129">
        <v>0</v>
      </c>
      <c r="D160" s="129">
        <v>0</v>
      </c>
      <c r="E160" s="130">
        <v>45040</v>
      </c>
    </row>
    <row r="161" spans="1:5" ht="24" customHeight="1" x14ac:dyDescent="0.3">
      <c r="A161" s="129" t="s">
        <v>19</v>
      </c>
      <c r="B161" s="129">
        <v>3.71</v>
      </c>
      <c r="C161" s="129">
        <v>0</v>
      </c>
      <c r="D161" s="129">
        <v>0</v>
      </c>
      <c r="E161" s="130">
        <v>45041</v>
      </c>
    </row>
    <row r="162" spans="1:5" ht="24" customHeight="1" x14ac:dyDescent="0.3">
      <c r="A162" s="129" t="s">
        <v>19</v>
      </c>
      <c r="B162" s="129">
        <v>350</v>
      </c>
      <c r="C162" s="129">
        <v>0</v>
      </c>
      <c r="D162" s="129">
        <v>0</v>
      </c>
      <c r="E162" s="130">
        <v>45041</v>
      </c>
    </row>
    <row r="163" spans="1:5" ht="24" customHeight="1" x14ac:dyDescent="0.3">
      <c r="A163" s="129" t="s">
        <v>25</v>
      </c>
      <c r="B163" s="129">
        <v>17.54</v>
      </c>
      <c r="C163" s="129">
        <v>0</v>
      </c>
      <c r="D163" s="129">
        <v>0</v>
      </c>
      <c r="E163" s="130">
        <v>45041</v>
      </c>
    </row>
    <row r="164" spans="1:5" ht="24" customHeight="1" x14ac:dyDescent="0.3">
      <c r="A164" s="129" t="s">
        <v>19</v>
      </c>
      <c r="B164" s="129">
        <v>44.36</v>
      </c>
      <c r="C164" s="129">
        <v>0</v>
      </c>
      <c r="D164" s="129">
        <v>0</v>
      </c>
      <c r="E164" s="130">
        <v>45042</v>
      </c>
    </row>
    <row r="165" spans="1:5" ht="24" customHeight="1" x14ac:dyDescent="0.3">
      <c r="A165" s="129" t="s">
        <v>25</v>
      </c>
      <c r="B165" s="129">
        <v>7.5</v>
      </c>
      <c r="C165" s="129">
        <v>0</v>
      </c>
      <c r="D165" s="129">
        <v>0</v>
      </c>
      <c r="E165" s="130">
        <v>45042</v>
      </c>
    </row>
    <row r="166" spans="1:5" ht="24" customHeight="1" x14ac:dyDescent="0.3">
      <c r="A166" s="129" t="s">
        <v>25</v>
      </c>
      <c r="B166" s="129">
        <v>6.25</v>
      </c>
      <c r="C166" s="129">
        <v>0</v>
      </c>
      <c r="D166" s="129">
        <v>0</v>
      </c>
      <c r="E166" s="130">
        <v>45043</v>
      </c>
    </row>
    <row r="167" spans="1:5" ht="24" customHeight="1" x14ac:dyDescent="0.3">
      <c r="A167" s="129" t="s">
        <v>25</v>
      </c>
      <c r="B167" s="129">
        <v>1</v>
      </c>
      <c r="C167" s="129">
        <v>0</v>
      </c>
      <c r="D167" s="129">
        <v>0</v>
      </c>
      <c r="E167" s="130">
        <v>45043</v>
      </c>
    </row>
    <row r="168" spans="1:5" ht="24" customHeight="1" x14ac:dyDescent="0.3">
      <c r="A168" s="129" t="s">
        <v>103</v>
      </c>
      <c r="B168" s="129">
        <v>40.5</v>
      </c>
      <c r="C168" s="129">
        <v>0</v>
      </c>
      <c r="D168" s="129">
        <v>0</v>
      </c>
      <c r="E168" s="130">
        <v>45044</v>
      </c>
    </row>
    <row r="169" spans="1:5" ht="24" customHeight="1" x14ac:dyDescent="0.3">
      <c r="A169" s="129" t="s">
        <v>25</v>
      </c>
      <c r="B169" s="129">
        <v>1</v>
      </c>
      <c r="C169" s="129">
        <v>0</v>
      </c>
      <c r="D169" s="129">
        <v>0</v>
      </c>
      <c r="E169" s="130">
        <v>45044</v>
      </c>
    </row>
    <row r="170" spans="1:5" ht="24" customHeight="1" x14ac:dyDescent="0.3">
      <c r="A170" s="129" t="s">
        <v>25</v>
      </c>
      <c r="B170" s="129">
        <v>7.5</v>
      </c>
      <c r="C170" s="129">
        <v>0</v>
      </c>
      <c r="D170" s="129">
        <v>0</v>
      </c>
      <c r="E170" s="130">
        <v>45044</v>
      </c>
    </row>
    <row r="171" spans="1:5" ht="24" customHeight="1" x14ac:dyDescent="0.3">
      <c r="A171" s="129" t="s">
        <v>25</v>
      </c>
      <c r="B171" s="129">
        <v>8</v>
      </c>
      <c r="C171" s="129">
        <v>0</v>
      </c>
      <c r="D171" s="129">
        <v>0</v>
      </c>
      <c r="E171" s="130">
        <v>45045</v>
      </c>
    </row>
    <row r="172" spans="1:5" ht="24" customHeight="1" x14ac:dyDescent="0.3">
      <c r="A172" s="129" t="s">
        <v>25</v>
      </c>
      <c r="B172" s="129">
        <v>21</v>
      </c>
      <c r="C172" s="129">
        <v>0</v>
      </c>
      <c r="D172" s="129">
        <v>0</v>
      </c>
      <c r="E172" s="130">
        <v>45046</v>
      </c>
    </row>
    <row r="173" spans="1:5" ht="24" customHeight="1" x14ac:dyDescent="0.3">
      <c r="A173" s="129" t="s">
        <v>112</v>
      </c>
      <c r="B173" s="129">
        <v>0</v>
      </c>
      <c r="C173" s="129">
        <v>0</v>
      </c>
      <c r="D173" s="129">
        <v>0</v>
      </c>
      <c r="E173" s="130">
        <v>45047</v>
      </c>
    </row>
    <row r="174" spans="1:5" ht="24" customHeight="1" x14ac:dyDescent="0.3">
      <c r="A174" s="129" t="s">
        <v>25</v>
      </c>
      <c r="B174" s="129">
        <v>10.62</v>
      </c>
      <c r="C174" s="129">
        <v>0</v>
      </c>
      <c r="D174" s="129">
        <v>0</v>
      </c>
      <c r="E174" s="130">
        <v>45048</v>
      </c>
    </row>
    <row r="175" spans="1:5" ht="24" customHeight="1" x14ac:dyDescent="0.3">
      <c r="A175" s="129" t="s">
        <v>25</v>
      </c>
      <c r="B175" s="129">
        <v>7.2</v>
      </c>
      <c r="C175" s="129">
        <v>0</v>
      </c>
      <c r="D175" s="129">
        <v>0</v>
      </c>
      <c r="E175" s="130">
        <v>45049</v>
      </c>
    </row>
    <row r="176" spans="1:5" ht="24" customHeight="1" x14ac:dyDescent="0.3">
      <c r="A176" s="129" t="s">
        <v>25</v>
      </c>
      <c r="B176" s="129">
        <v>7.75</v>
      </c>
      <c r="C176" s="129">
        <v>0</v>
      </c>
      <c r="D176" s="129">
        <v>0</v>
      </c>
      <c r="E176" s="130">
        <v>45050</v>
      </c>
    </row>
    <row r="177" spans="1:5" ht="24" customHeight="1" x14ac:dyDescent="0.3">
      <c r="A177" s="129" t="s">
        <v>25</v>
      </c>
      <c r="B177" s="129">
        <v>12.3</v>
      </c>
      <c r="C177" s="129">
        <v>0</v>
      </c>
      <c r="D177" s="129">
        <v>0</v>
      </c>
      <c r="E177" s="130">
        <v>45051</v>
      </c>
    </row>
    <row r="178" spans="1:5" ht="24" customHeight="1" x14ac:dyDescent="0.3">
      <c r="A178" s="129" t="s">
        <v>22</v>
      </c>
      <c r="B178" s="129">
        <v>35.659999999999997</v>
      </c>
      <c r="C178" s="129">
        <v>0</v>
      </c>
      <c r="D178" s="129">
        <v>0</v>
      </c>
      <c r="E178" s="130">
        <v>45052</v>
      </c>
    </row>
    <row r="179" spans="1:5" ht="24" customHeight="1" x14ac:dyDescent="0.3">
      <c r="A179" s="129" t="s">
        <v>28</v>
      </c>
      <c r="B179" s="129">
        <v>6</v>
      </c>
      <c r="C179" s="129">
        <v>0</v>
      </c>
      <c r="D179" s="129">
        <v>0</v>
      </c>
      <c r="E179" s="130">
        <v>45053</v>
      </c>
    </row>
    <row r="180" spans="1:5" ht="24" customHeight="1" x14ac:dyDescent="0.3">
      <c r="A180" s="129" t="s">
        <v>25</v>
      </c>
      <c r="B180" s="129">
        <v>1</v>
      </c>
      <c r="C180" s="129">
        <v>0</v>
      </c>
      <c r="D180" s="129">
        <v>0</v>
      </c>
      <c r="E180" s="130">
        <v>45053</v>
      </c>
    </row>
    <row r="181" spans="1:5" ht="24" customHeight="1" x14ac:dyDescent="0.3">
      <c r="A181" s="129" t="s">
        <v>112</v>
      </c>
      <c r="B181" s="129">
        <v>0</v>
      </c>
      <c r="C181" s="129">
        <v>0</v>
      </c>
      <c r="D181" s="129">
        <v>0</v>
      </c>
      <c r="E181" s="130">
        <v>45054</v>
      </c>
    </row>
    <row r="182" spans="1:5" ht="24" customHeight="1" x14ac:dyDescent="0.3">
      <c r="A182" s="129" t="s">
        <v>112</v>
      </c>
      <c r="B182" s="129">
        <v>0</v>
      </c>
      <c r="C182" s="129">
        <v>0</v>
      </c>
      <c r="D182" s="129">
        <v>0</v>
      </c>
      <c r="E182" s="130">
        <v>45055</v>
      </c>
    </row>
    <row r="183" spans="1:5" ht="24" customHeight="1" x14ac:dyDescent="0.3">
      <c r="A183" s="129" t="s">
        <v>25</v>
      </c>
      <c r="B183" s="129">
        <v>1</v>
      </c>
      <c r="C183" s="129">
        <v>0</v>
      </c>
      <c r="D183" s="129">
        <v>0</v>
      </c>
      <c r="E183" s="130">
        <v>45056</v>
      </c>
    </row>
    <row r="184" spans="1:5" ht="24" customHeight="1" x14ac:dyDescent="0.3">
      <c r="A184" s="129" t="s">
        <v>45</v>
      </c>
      <c r="B184" s="129">
        <v>1.39</v>
      </c>
      <c r="C184" s="129">
        <v>0</v>
      </c>
      <c r="D184" s="129">
        <v>0</v>
      </c>
      <c r="E184" s="130">
        <v>45057</v>
      </c>
    </row>
    <row r="185" spans="1:5" ht="24" customHeight="1" x14ac:dyDescent="0.3">
      <c r="A185" s="129" t="s">
        <v>25</v>
      </c>
      <c r="B185" s="129">
        <v>7.5</v>
      </c>
      <c r="C185" s="129">
        <v>0</v>
      </c>
      <c r="D185" s="129">
        <v>0</v>
      </c>
      <c r="E185" s="130">
        <v>45057</v>
      </c>
    </row>
    <row r="186" spans="1:5" ht="24" customHeight="1" x14ac:dyDescent="0.3">
      <c r="A186" s="129" t="s">
        <v>45</v>
      </c>
      <c r="B186" s="129">
        <v>40.4</v>
      </c>
      <c r="C186" s="129">
        <v>0</v>
      </c>
      <c r="D186" s="129">
        <v>0</v>
      </c>
      <c r="E186" s="130">
        <v>45058</v>
      </c>
    </row>
    <row r="187" spans="1:5" ht="24" customHeight="1" x14ac:dyDescent="0.3">
      <c r="A187" s="129" t="s">
        <v>19</v>
      </c>
      <c r="B187" s="129">
        <v>398</v>
      </c>
      <c r="C187" s="129">
        <v>0</v>
      </c>
      <c r="D187" s="129">
        <v>0</v>
      </c>
      <c r="E187" s="130">
        <v>45058</v>
      </c>
    </row>
    <row r="188" spans="1:5" ht="24" customHeight="1" x14ac:dyDescent="0.3">
      <c r="A188" s="129" t="s">
        <v>25</v>
      </c>
      <c r="B188" s="129">
        <v>4.3499999999999996</v>
      </c>
      <c r="C188" s="129">
        <v>0</v>
      </c>
      <c r="D188" s="129">
        <v>0</v>
      </c>
      <c r="E188" s="130">
        <v>45058</v>
      </c>
    </row>
    <row r="189" spans="1:5" ht="24" customHeight="1" x14ac:dyDescent="0.3">
      <c r="A189" s="129" t="s">
        <v>112</v>
      </c>
      <c r="B189" s="129">
        <v>0</v>
      </c>
      <c r="C189" s="129">
        <v>0</v>
      </c>
      <c r="D189" s="129">
        <v>0</v>
      </c>
      <c r="E189" s="130">
        <v>45058</v>
      </c>
    </row>
    <row r="190" spans="1:5" ht="24" customHeight="1" x14ac:dyDescent="0.3">
      <c r="A190" s="129" t="s">
        <v>25</v>
      </c>
      <c r="B190" s="129">
        <v>1</v>
      </c>
      <c r="C190" s="129">
        <v>0</v>
      </c>
      <c r="D190" s="129">
        <v>0</v>
      </c>
      <c r="E190" s="130">
        <v>45059</v>
      </c>
    </row>
    <row r="191" spans="1:5" ht="24" customHeight="1" x14ac:dyDescent="0.3">
      <c r="A191" s="129" t="s">
        <v>25</v>
      </c>
      <c r="B191" s="129">
        <v>10</v>
      </c>
      <c r="C191" s="129">
        <v>0</v>
      </c>
      <c r="D191" s="129">
        <v>0</v>
      </c>
      <c r="E191" s="130">
        <v>45060</v>
      </c>
    </row>
    <row r="192" spans="1:5" ht="24" customHeight="1" x14ac:dyDescent="0.3">
      <c r="A192" s="129" t="s">
        <v>22</v>
      </c>
      <c r="B192" s="129">
        <v>12</v>
      </c>
      <c r="C192" s="129">
        <v>0</v>
      </c>
      <c r="D192" s="129">
        <v>0</v>
      </c>
      <c r="E192" s="130">
        <v>45060</v>
      </c>
    </row>
    <row r="193" spans="1:6" ht="24" customHeight="1" x14ac:dyDescent="0.3">
      <c r="A193" s="135" t="s">
        <v>105</v>
      </c>
      <c r="B193" s="135">
        <v>0</v>
      </c>
      <c r="C193" s="129">
        <v>0</v>
      </c>
      <c r="D193" s="129">
        <v>22000</v>
      </c>
      <c r="E193" s="130">
        <v>45061</v>
      </c>
    </row>
    <row r="194" spans="1:6" ht="24" customHeight="1" x14ac:dyDescent="0.3">
      <c r="A194" s="138" t="s">
        <v>25</v>
      </c>
      <c r="B194" s="138">
        <v>8.5</v>
      </c>
      <c r="C194" s="129">
        <v>0</v>
      </c>
      <c r="D194" s="129">
        <v>0</v>
      </c>
      <c r="E194" s="130">
        <v>45061</v>
      </c>
    </row>
    <row r="195" spans="1:6" ht="24" customHeight="1" x14ac:dyDescent="0.3">
      <c r="A195" s="135" t="s">
        <v>104</v>
      </c>
      <c r="B195" s="135">
        <v>53.1</v>
      </c>
      <c r="C195" s="129">
        <v>0</v>
      </c>
      <c r="D195" s="129">
        <v>0</v>
      </c>
      <c r="E195" s="130">
        <v>45062</v>
      </c>
      <c r="F195" s="42"/>
    </row>
    <row r="196" spans="1:6" ht="24" customHeight="1" x14ac:dyDescent="0.3">
      <c r="A196" s="138" t="s">
        <v>25</v>
      </c>
      <c r="B196" s="138">
        <v>1.8</v>
      </c>
      <c r="C196" s="129">
        <v>0</v>
      </c>
      <c r="D196" s="129">
        <v>0</v>
      </c>
      <c r="E196" s="130">
        <v>45062</v>
      </c>
    </row>
    <row r="197" spans="1:6" ht="24" customHeight="1" x14ac:dyDescent="0.3">
      <c r="A197" s="138" t="s">
        <v>22</v>
      </c>
      <c r="B197" s="138">
        <v>45.7</v>
      </c>
      <c r="C197" s="129">
        <v>0</v>
      </c>
      <c r="D197" s="129">
        <v>0</v>
      </c>
      <c r="E197" s="130">
        <v>45062</v>
      </c>
    </row>
    <row r="198" spans="1:6" ht="24" customHeight="1" x14ac:dyDescent="0.3">
      <c r="A198" s="138" t="s">
        <v>25</v>
      </c>
      <c r="B198" s="138">
        <v>1</v>
      </c>
      <c r="C198" s="129">
        <v>0</v>
      </c>
      <c r="D198" s="129">
        <v>0</v>
      </c>
      <c r="E198" s="130">
        <v>45063</v>
      </c>
    </row>
    <row r="199" spans="1:6" ht="24" customHeight="1" x14ac:dyDescent="0.3">
      <c r="A199" s="138" t="s">
        <v>112</v>
      </c>
      <c r="B199" s="138">
        <v>0</v>
      </c>
      <c r="C199" s="129">
        <v>0</v>
      </c>
      <c r="D199" s="129">
        <v>0</v>
      </c>
      <c r="E199" s="130">
        <v>45064</v>
      </c>
    </row>
    <row r="200" spans="1:6" ht="24" customHeight="1" x14ac:dyDescent="0.3">
      <c r="A200" s="138" t="s">
        <v>25</v>
      </c>
      <c r="B200" s="138">
        <v>2</v>
      </c>
      <c r="C200" s="129">
        <v>0</v>
      </c>
      <c r="D200" s="129">
        <v>0</v>
      </c>
      <c r="E200" s="130">
        <v>45065</v>
      </c>
    </row>
    <row r="201" spans="1:6" ht="24" customHeight="1" x14ac:dyDescent="0.3">
      <c r="A201" s="138" t="s">
        <v>112</v>
      </c>
      <c r="B201" s="138">
        <v>0</v>
      </c>
      <c r="C201" s="129">
        <v>0</v>
      </c>
      <c r="D201" s="129">
        <v>0</v>
      </c>
      <c r="E201" s="130">
        <v>45066</v>
      </c>
    </row>
    <row r="202" spans="1:6" ht="24" customHeight="1" x14ac:dyDescent="0.3">
      <c r="A202" s="135" t="s">
        <v>103</v>
      </c>
      <c r="B202" s="135">
        <v>9</v>
      </c>
      <c r="C202" s="129">
        <v>0</v>
      </c>
      <c r="D202" s="129">
        <v>0</v>
      </c>
      <c r="E202" s="130">
        <v>45067</v>
      </c>
    </row>
    <row r="203" spans="1:6" ht="24" customHeight="1" x14ac:dyDescent="0.3">
      <c r="A203" s="138" t="s">
        <v>112</v>
      </c>
      <c r="B203" s="138">
        <v>0</v>
      </c>
      <c r="C203" s="129">
        <v>0</v>
      </c>
      <c r="D203" s="129">
        <v>0</v>
      </c>
      <c r="E203" s="130">
        <v>45067</v>
      </c>
    </row>
    <row r="204" spans="1:6" ht="24" customHeight="1" x14ac:dyDescent="0.3">
      <c r="A204" s="135" t="s">
        <v>45</v>
      </c>
      <c r="B204" s="135">
        <v>32</v>
      </c>
      <c r="C204" s="129">
        <v>0</v>
      </c>
      <c r="D204" s="129">
        <v>0</v>
      </c>
      <c r="E204" s="130">
        <v>45068</v>
      </c>
    </row>
    <row r="205" spans="1:6" ht="24" customHeight="1" x14ac:dyDescent="0.3">
      <c r="A205" s="138" t="s">
        <v>25</v>
      </c>
      <c r="B205" s="138">
        <v>0.8</v>
      </c>
      <c r="C205" s="129">
        <v>0</v>
      </c>
      <c r="D205" s="129">
        <v>0</v>
      </c>
      <c r="E205" s="130">
        <v>45068</v>
      </c>
    </row>
    <row r="206" spans="1:6" ht="24" customHeight="1" x14ac:dyDescent="0.3">
      <c r="A206" s="138" t="s">
        <v>25</v>
      </c>
      <c r="B206" s="138">
        <v>4</v>
      </c>
      <c r="C206" s="129">
        <v>0</v>
      </c>
      <c r="D206" s="129">
        <v>0</v>
      </c>
      <c r="E206" s="130">
        <v>45068</v>
      </c>
    </row>
    <row r="207" spans="1:6" ht="24" customHeight="1" x14ac:dyDescent="0.3">
      <c r="A207" s="135" t="s">
        <v>19</v>
      </c>
      <c r="B207" s="135">
        <v>398</v>
      </c>
      <c r="C207" s="129">
        <v>0</v>
      </c>
      <c r="D207" s="129">
        <v>0</v>
      </c>
      <c r="E207" s="130">
        <v>45069</v>
      </c>
    </row>
    <row r="208" spans="1:6" ht="24" customHeight="1" x14ac:dyDescent="0.3">
      <c r="A208" s="138" t="s">
        <v>25</v>
      </c>
      <c r="B208" s="138">
        <v>2</v>
      </c>
      <c r="C208" s="129">
        <v>0</v>
      </c>
      <c r="D208" s="129">
        <v>0</v>
      </c>
      <c r="E208" s="130">
        <v>45069</v>
      </c>
    </row>
    <row r="209" spans="1:5" ht="24" customHeight="1" x14ac:dyDescent="0.3">
      <c r="A209" s="138" t="s">
        <v>22</v>
      </c>
      <c r="B209" s="138">
        <v>15</v>
      </c>
      <c r="C209" s="129">
        <v>0</v>
      </c>
      <c r="D209" s="129">
        <v>0</v>
      </c>
      <c r="E209" s="130">
        <v>45070</v>
      </c>
    </row>
    <row r="210" spans="1:5" ht="24" customHeight="1" x14ac:dyDescent="0.3">
      <c r="A210" s="138" t="s">
        <v>22</v>
      </c>
      <c r="B210" s="138">
        <v>30.25</v>
      </c>
      <c r="C210" s="129">
        <v>0</v>
      </c>
      <c r="D210" s="129">
        <v>0</v>
      </c>
      <c r="E210" s="130">
        <v>45070</v>
      </c>
    </row>
    <row r="211" spans="1:5" ht="24" customHeight="1" x14ac:dyDescent="0.3">
      <c r="A211" s="138" t="s">
        <v>25</v>
      </c>
      <c r="B211" s="138">
        <v>3.9</v>
      </c>
      <c r="C211" s="129">
        <v>0</v>
      </c>
      <c r="D211" s="129">
        <v>0</v>
      </c>
      <c r="E211" s="130">
        <v>45071</v>
      </c>
    </row>
    <row r="212" spans="1:5" ht="24" customHeight="1" x14ac:dyDescent="0.3">
      <c r="A212" s="138" t="s">
        <v>25</v>
      </c>
      <c r="B212" s="138">
        <v>1</v>
      </c>
      <c r="C212" s="129">
        <v>0</v>
      </c>
      <c r="D212" s="129">
        <v>0</v>
      </c>
      <c r="E212" s="130">
        <v>45072</v>
      </c>
    </row>
    <row r="213" spans="1:5" ht="24" customHeight="1" x14ac:dyDescent="0.3">
      <c r="A213" s="138" t="s">
        <v>112</v>
      </c>
      <c r="B213" s="138">
        <v>0</v>
      </c>
      <c r="C213" s="129">
        <v>0</v>
      </c>
      <c r="D213" s="129">
        <v>0</v>
      </c>
      <c r="E213" s="130">
        <v>45073</v>
      </c>
    </row>
    <row r="214" spans="1:5" ht="24" customHeight="1" x14ac:dyDescent="0.3">
      <c r="A214" s="138" t="s">
        <v>112</v>
      </c>
      <c r="B214" s="138">
        <v>0</v>
      </c>
      <c r="C214" s="129">
        <v>0</v>
      </c>
      <c r="D214" s="129">
        <v>0</v>
      </c>
      <c r="E214" s="130">
        <v>45074</v>
      </c>
    </row>
    <row r="215" spans="1:5" ht="24" customHeight="1" x14ac:dyDescent="0.3">
      <c r="A215" s="138" t="s">
        <v>112</v>
      </c>
      <c r="B215" s="138">
        <v>0</v>
      </c>
      <c r="C215" s="129">
        <v>0</v>
      </c>
      <c r="D215" s="129">
        <v>0</v>
      </c>
      <c r="E215" s="130">
        <v>45075</v>
      </c>
    </row>
    <row r="216" spans="1:5" ht="24" customHeight="1" x14ac:dyDescent="0.3">
      <c r="A216" s="138" t="s">
        <v>25</v>
      </c>
      <c r="B216" s="138">
        <v>7.5</v>
      </c>
      <c r="C216" s="129">
        <v>0</v>
      </c>
      <c r="D216" s="129">
        <v>0</v>
      </c>
      <c r="E216" s="130">
        <v>45076</v>
      </c>
    </row>
    <row r="217" spans="1:5" ht="24" customHeight="1" x14ac:dyDescent="0.3">
      <c r="A217" s="138" t="s">
        <v>22</v>
      </c>
      <c r="B217" s="138">
        <v>18.75</v>
      </c>
      <c r="C217" s="129">
        <v>0</v>
      </c>
      <c r="D217" s="129">
        <v>0</v>
      </c>
      <c r="E217" s="130">
        <v>45076</v>
      </c>
    </row>
    <row r="218" spans="1:5" ht="24" customHeight="1" x14ac:dyDescent="0.3">
      <c r="A218" s="138" t="s">
        <v>22</v>
      </c>
      <c r="B218" s="138">
        <v>2</v>
      </c>
      <c r="C218" s="129">
        <v>0</v>
      </c>
      <c r="D218" s="129">
        <v>0</v>
      </c>
      <c r="E218" s="130">
        <v>45077</v>
      </c>
    </row>
    <row r="219" spans="1:5" ht="24" customHeight="1" x14ac:dyDescent="0.3">
      <c r="A219" s="138" t="s">
        <v>113</v>
      </c>
      <c r="B219" s="138">
        <v>0</v>
      </c>
      <c r="C219" s="129">
        <v>0</v>
      </c>
      <c r="D219" s="129">
        <v>0</v>
      </c>
      <c r="E219" s="130">
        <v>45078</v>
      </c>
    </row>
    <row r="220" spans="1:5" ht="24" customHeight="1" x14ac:dyDescent="0.3">
      <c r="A220" s="138" t="s">
        <v>22</v>
      </c>
      <c r="B220" s="138">
        <v>6.95</v>
      </c>
      <c r="C220" s="129">
        <v>0</v>
      </c>
      <c r="D220" s="129">
        <v>0</v>
      </c>
      <c r="E220" s="130">
        <v>45079</v>
      </c>
    </row>
    <row r="221" spans="1:5" ht="24" customHeight="1" x14ac:dyDescent="0.3">
      <c r="A221" s="138" t="s">
        <v>25</v>
      </c>
      <c r="B221" s="138">
        <v>4.7</v>
      </c>
      <c r="C221" s="129">
        <v>0</v>
      </c>
      <c r="D221" s="129">
        <v>0</v>
      </c>
      <c r="E221" s="130">
        <v>45079</v>
      </c>
    </row>
    <row r="222" spans="1:5" ht="24" customHeight="1" x14ac:dyDescent="0.3">
      <c r="A222" s="138" t="s">
        <v>113</v>
      </c>
      <c r="B222" s="138">
        <v>0</v>
      </c>
      <c r="C222" s="129">
        <v>0</v>
      </c>
      <c r="D222" s="129">
        <v>0</v>
      </c>
      <c r="E222" s="130">
        <v>45080</v>
      </c>
    </row>
    <row r="223" spans="1:5" ht="24" customHeight="1" x14ac:dyDescent="0.3">
      <c r="A223" s="138" t="s">
        <v>113</v>
      </c>
      <c r="B223" s="138">
        <v>0</v>
      </c>
      <c r="C223" s="129">
        <v>0</v>
      </c>
      <c r="D223" s="129">
        <v>0</v>
      </c>
      <c r="E223" s="130">
        <v>45081</v>
      </c>
    </row>
    <row r="224" spans="1:5" ht="24" customHeight="1" x14ac:dyDescent="0.3">
      <c r="A224" s="138" t="s">
        <v>22</v>
      </c>
      <c r="B224" s="138">
        <v>26</v>
      </c>
      <c r="C224" s="129">
        <v>0</v>
      </c>
      <c r="D224" s="129">
        <v>0</v>
      </c>
      <c r="E224" s="130">
        <v>45082</v>
      </c>
    </row>
    <row r="225" spans="1:5" ht="24" customHeight="1" x14ac:dyDescent="0.3">
      <c r="A225" s="135" t="s">
        <v>19</v>
      </c>
      <c r="B225" s="135">
        <v>405.16</v>
      </c>
      <c r="C225" s="129">
        <v>0</v>
      </c>
      <c r="D225" s="129">
        <v>0</v>
      </c>
      <c r="E225" s="130">
        <v>45083</v>
      </c>
    </row>
    <row r="226" spans="1:5" ht="24" customHeight="1" x14ac:dyDescent="0.3">
      <c r="A226" s="138" t="s">
        <v>113</v>
      </c>
      <c r="B226" s="138">
        <v>0</v>
      </c>
      <c r="C226" s="129">
        <v>0</v>
      </c>
      <c r="D226" s="129">
        <v>0</v>
      </c>
      <c r="E226" s="130">
        <v>45083</v>
      </c>
    </row>
    <row r="227" spans="1:5" ht="24" customHeight="1" x14ac:dyDescent="0.3">
      <c r="A227" s="135" t="s">
        <v>106</v>
      </c>
      <c r="B227" s="135">
        <v>0</v>
      </c>
      <c r="C227" s="129">
        <v>0</v>
      </c>
      <c r="D227" s="129">
        <v>18000</v>
      </c>
      <c r="E227" s="130">
        <v>45084</v>
      </c>
    </row>
    <row r="228" spans="1:5" ht="24" customHeight="1" x14ac:dyDescent="0.3">
      <c r="A228" s="138" t="s">
        <v>25</v>
      </c>
      <c r="B228" s="138">
        <v>1</v>
      </c>
      <c r="C228" s="129">
        <v>0</v>
      </c>
      <c r="D228" s="129">
        <v>0</v>
      </c>
      <c r="E228" s="130">
        <v>45084</v>
      </c>
    </row>
    <row r="229" spans="1:5" ht="24" customHeight="1" x14ac:dyDescent="0.3">
      <c r="A229" s="138" t="s">
        <v>112</v>
      </c>
      <c r="B229" s="138">
        <v>0</v>
      </c>
      <c r="C229" s="129">
        <v>0</v>
      </c>
      <c r="D229" s="129">
        <v>0</v>
      </c>
      <c r="E229" s="130">
        <v>45085</v>
      </c>
    </row>
    <row r="230" spans="1:5" ht="24" customHeight="1" x14ac:dyDescent="0.3">
      <c r="A230" s="138" t="s">
        <v>25</v>
      </c>
      <c r="B230" s="138">
        <v>1</v>
      </c>
      <c r="C230" s="129">
        <v>0</v>
      </c>
      <c r="D230" s="129">
        <v>0</v>
      </c>
      <c r="E230" s="130">
        <v>45086</v>
      </c>
    </row>
    <row r="231" spans="1:5" ht="24" customHeight="1" x14ac:dyDescent="0.3">
      <c r="A231" s="135" t="s">
        <v>103</v>
      </c>
      <c r="B231" s="135">
        <v>21.6</v>
      </c>
      <c r="C231" s="129">
        <v>0</v>
      </c>
      <c r="D231" s="129">
        <v>0</v>
      </c>
      <c r="E231" s="130">
        <v>45087</v>
      </c>
    </row>
    <row r="232" spans="1:5" ht="24" customHeight="1" x14ac:dyDescent="0.3">
      <c r="A232" s="138" t="s">
        <v>22</v>
      </c>
      <c r="B232" s="138">
        <v>13.9</v>
      </c>
      <c r="C232" s="129">
        <v>0</v>
      </c>
      <c r="D232" s="129">
        <v>0</v>
      </c>
      <c r="E232" s="130">
        <v>45087</v>
      </c>
    </row>
    <row r="233" spans="1:5" ht="24" customHeight="1" x14ac:dyDescent="0.3">
      <c r="A233" s="138" t="s">
        <v>25</v>
      </c>
      <c r="B233" s="138">
        <v>1</v>
      </c>
      <c r="C233" s="129">
        <v>0</v>
      </c>
      <c r="D233" s="129">
        <v>0</v>
      </c>
      <c r="E233" s="130">
        <v>45088</v>
      </c>
    </row>
    <row r="234" spans="1:5" ht="24" customHeight="1" x14ac:dyDescent="0.3">
      <c r="A234" s="138" t="s">
        <v>112</v>
      </c>
      <c r="B234" s="138">
        <v>0</v>
      </c>
      <c r="C234" s="129">
        <v>0</v>
      </c>
      <c r="D234" s="129">
        <v>0</v>
      </c>
      <c r="E234" s="130">
        <v>45089</v>
      </c>
    </row>
    <row r="235" spans="1:5" ht="24" customHeight="1" x14ac:dyDescent="0.3">
      <c r="A235" s="138" t="s">
        <v>25</v>
      </c>
      <c r="B235" s="138">
        <v>2</v>
      </c>
      <c r="C235" s="129">
        <v>0</v>
      </c>
      <c r="D235" s="129">
        <v>0</v>
      </c>
      <c r="E235" s="130">
        <v>45090</v>
      </c>
    </row>
    <row r="236" spans="1:5" ht="24" customHeight="1" x14ac:dyDescent="0.3">
      <c r="A236" s="138" t="s">
        <v>112</v>
      </c>
      <c r="B236" s="138">
        <v>0</v>
      </c>
      <c r="C236" s="129">
        <v>0</v>
      </c>
      <c r="D236" s="129">
        <v>0</v>
      </c>
      <c r="E236" s="130">
        <v>45091</v>
      </c>
    </row>
    <row r="237" spans="1:5" ht="24" customHeight="1" x14ac:dyDescent="0.3">
      <c r="A237" s="138" t="s">
        <v>22</v>
      </c>
      <c r="B237" s="138">
        <v>53.5</v>
      </c>
      <c r="C237" s="129">
        <v>0</v>
      </c>
      <c r="D237" s="129">
        <v>0</v>
      </c>
      <c r="E237" s="130">
        <v>45092</v>
      </c>
    </row>
    <row r="238" spans="1:5" ht="24" customHeight="1" x14ac:dyDescent="0.3">
      <c r="A238" s="135" t="s">
        <v>45</v>
      </c>
      <c r="B238" s="135">
        <v>15.88</v>
      </c>
      <c r="C238" s="129">
        <v>0</v>
      </c>
      <c r="D238" s="129">
        <v>0</v>
      </c>
      <c r="E238" s="130">
        <v>45093</v>
      </c>
    </row>
    <row r="239" spans="1:5" ht="24" customHeight="1" x14ac:dyDescent="0.3">
      <c r="A239" s="135" t="s">
        <v>104</v>
      </c>
      <c r="B239" s="135">
        <v>53.1</v>
      </c>
      <c r="C239" s="129">
        <v>0</v>
      </c>
      <c r="D239" s="129">
        <v>0</v>
      </c>
      <c r="E239" s="130">
        <v>45093</v>
      </c>
    </row>
    <row r="240" spans="1:5" ht="24" customHeight="1" x14ac:dyDescent="0.3">
      <c r="A240" s="138" t="s">
        <v>25</v>
      </c>
      <c r="B240" s="138">
        <v>7.5</v>
      </c>
      <c r="C240" s="129">
        <v>0</v>
      </c>
      <c r="D240" s="129">
        <v>0</v>
      </c>
      <c r="E240" s="130">
        <v>45093</v>
      </c>
    </row>
    <row r="241" spans="1:5" ht="24" customHeight="1" x14ac:dyDescent="0.3">
      <c r="A241" s="138" t="s">
        <v>25</v>
      </c>
      <c r="B241" s="138">
        <v>1</v>
      </c>
      <c r="C241" s="129">
        <v>0</v>
      </c>
      <c r="D241" s="129">
        <v>0</v>
      </c>
      <c r="E241" s="130">
        <v>45094</v>
      </c>
    </row>
    <row r="242" spans="1:5" ht="24" customHeight="1" x14ac:dyDescent="0.3">
      <c r="A242" s="138" t="s">
        <v>112</v>
      </c>
      <c r="B242" s="138">
        <v>0</v>
      </c>
      <c r="C242" s="129">
        <v>0</v>
      </c>
      <c r="D242" s="129">
        <v>0</v>
      </c>
      <c r="E242" s="130">
        <v>45095</v>
      </c>
    </row>
    <row r="243" spans="1:5" ht="24" customHeight="1" x14ac:dyDescent="0.3">
      <c r="A243" s="138" t="s">
        <v>112</v>
      </c>
      <c r="B243" s="138">
        <v>0</v>
      </c>
      <c r="C243" s="129">
        <v>0</v>
      </c>
      <c r="D243" s="129">
        <v>0</v>
      </c>
      <c r="E243" s="130">
        <v>45096</v>
      </c>
    </row>
    <row r="244" spans="1:5" ht="24" customHeight="1" x14ac:dyDescent="0.3">
      <c r="A244" s="135" t="s">
        <v>19</v>
      </c>
      <c r="B244" s="135">
        <v>398</v>
      </c>
      <c r="C244" s="129">
        <v>0</v>
      </c>
      <c r="D244" s="129">
        <v>0</v>
      </c>
      <c r="E244" s="130">
        <v>45097</v>
      </c>
    </row>
    <row r="245" spans="1:5" ht="24" customHeight="1" x14ac:dyDescent="0.3">
      <c r="A245" s="138" t="s">
        <v>25</v>
      </c>
      <c r="B245" s="138">
        <v>1</v>
      </c>
      <c r="C245" s="129">
        <v>0</v>
      </c>
      <c r="D245" s="129">
        <v>0</v>
      </c>
      <c r="E245" s="130">
        <v>45097</v>
      </c>
    </row>
    <row r="246" spans="1:5" ht="24" customHeight="1" x14ac:dyDescent="0.3">
      <c r="A246" s="138" t="s">
        <v>25</v>
      </c>
      <c r="B246" s="138">
        <v>12</v>
      </c>
      <c r="C246" s="129">
        <v>0</v>
      </c>
      <c r="D246" s="129">
        <v>0</v>
      </c>
      <c r="E246" s="130">
        <v>45098</v>
      </c>
    </row>
    <row r="247" spans="1:5" ht="24" customHeight="1" x14ac:dyDescent="0.3">
      <c r="A247" s="135" t="s">
        <v>45</v>
      </c>
      <c r="B247" s="135">
        <v>5</v>
      </c>
      <c r="C247" s="129">
        <v>0</v>
      </c>
      <c r="D247" s="129">
        <v>0</v>
      </c>
      <c r="E247" s="130">
        <v>45099</v>
      </c>
    </row>
    <row r="248" spans="1:5" ht="24" customHeight="1" x14ac:dyDescent="0.3">
      <c r="A248" s="138" t="s">
        <v>22</v>
      </c>
      <c r="B248" s="138">
        <v>53.5</v>
      </c>
      <c r="C248" s="129">
        <v>0</v>
      </c>
      <c r="D248" s="129">
        <v>0</v>
      </c>
      <c r="E248" s="130">
        <v>45100</v>
      </c>
    </row>
    <row r="249" spans="1:5" ht="24" customHeight="1" x14ac:dyDescent="0.3">
      <c r="A249" s="135" t="s">
        <v>45</v>
      </c>
      <c r="B249" s="135">
        <v>124</v>
      </c>
      <c r="C249" s="129">
        <v>0</v>
      </c>
      <c r="D249" s="129">
        <v>0</v>
      </c>
      <c r="E249" s="130">
        <v>45101</v>
      </c>
    </row>
    <row r="250" spans="1:5" ht="24" customHeight="1" x14ac:dyDescent="0.3">
      <c r="A250" s="138" t="s">
        <v>112</v>
      </c>
      <c r="B250" s="138">
        <v>0</v>
      </c>
      <c r="C250" s="129">
        <v>0</v>
      </c>
      <c r="D250" s="129">
        <v>0</v>
      </c>
      <c r="E250" s="130">
        <v>45102</v>
      </c>
    </row>
    <row r="251" spans="1:5" ht="24" customHeight="1" x14ac:dyDescent="0.3">
      <c r="A251" s="138" t="s">
        <v>25</v>
      </c>
      <c r="B251" s="138">
        <v>1</v>
      </c>
      <c r="C251" s="129">
        <v>0</v>
      </c>
      <c r="D251" s="129">
        <v>0</v>
      </c>
      <c r="E251" s="130">
        <v>45103</v>
      </c>
    </row>
    <row r="252" spans="1:5" ht="24" customHeight="1" x14ac:dyDescent="0.3">
      <c r="A252" s="138" t="s">
        <v>22</v>
      </c>
      <c r="B252" s="138">
        <v>4.2</v>
      </c>
      <c r="C252" s="129">
        <v>0</v>
      </c>
      <c r="D252" s="129">
        <v>0</v>
      </c>
      <c r="E252" s="130">
        <v>45104</v>
      </c>
    </row>
    <row r="253" spans="1:5" ht="24" customHeight="1" x14ac:dyDescent="0.3">
      <c r="A253" s="138" t="s">
        <v>25</v>
      </c>
      <c r="B253" s="138">
        <v>29.9</v>
      </c>
      <c r="C253" s="129">
        <v>0</v>
      </c>
      <c r="D253" s="129">
        <v>0</v>
      </c>
      <c r="E253" s="130">
        <v>45104</v>
      </c>
    </row>
    <row r="254" spans="1:5" ht="24" customHeight="1" x14ac:dyDescent="0.3">
      <c r="A254" s="138" t="s">
        <v>112</v>
      </c>
      <c r="B254" s="138">
        <v>0</v>
      </c>
      <c r="C254" s="129">
        <v>0</v>
      </c>
      <c r="D254" s="129">
        <v>0</v>
      </c>
      <c r="E254" s="130">
        <v>45105</v>
      </c>
    </row>
    <row r="255" spans="1:5" ht="24" customHeight="1" x14ac:dyDescent="0.3">
      <c r="A255" s="138" t="s">
        <v>112</v>
      </c>
      <c r="B255" s="138">
        <v>0</v>
      </c>
      <c r="C255" s="129">
        <v>0</v>
      </c>
      <c r="D255" s="129">
        <v>0</v>
      </c>
      <c r="E255" s="130">
        <v>45106</v>
      </c>
    </row>
    <row r="256" spans="1:5" ht="24" customHeight="1" x14ac:dyDescent="0.3">
      <c r="A256" s="138" t="s">
        <v>112</v>
      </c>
      <c r="B256" s="138">
        <v>0</v>
      </c>
      <c r="C256" s="129">
        <v>0</v>
      </c>
      <c r="D256" s="129">
        <v>0</v>
      </c>
      <c r="E256" s="130">
        <v>45107</v>
      </c>
    </row>
    <row r="257" spans="1:5" ht="24" customHeight="1" x14ac:dyDescent="0.3">
      <c r="A257" s="138" t="s">
        <v>22</v>
      </c>
      <c r="B257" s="138">
        <v>22.78</v>
      </c>
      <c r="C257" s="129">
        <v>0</v>
      </c>
      <c r="D257" s="129">
        <v>0</v>
      </c>
      <c r="E257" s="130">
        <v>45108</v>
      </c>
    </row>
    <row r="258" spans="1:5" ht="24" customHeight="1" x14ac:dyDescent="0.3">
      <c r="A258" s="138" t="s">
        <v>22</v>
      </c>
      <c r="B258" s="138">
        <v>22.9</v>
      </c>
      <c r="C258" s="129">
        <v>0</v>
      </c>
      <c r="D258" s="129">
        <v>0</v>
      </c>
      <c r="E258" s="130">
        <v>45108</v>
      </c>
    </row>
    <row r="259" spans="1:5" ht="24" customHeight="1" x14ac:dyDescent="0.3">
      <c r="A259" s="138" t="s">
        <v>22</v>
      </c>
      <c r="B259" s="138">
        <v>15.05</v>
      </c>
      <c r="C259" s="129">
        <v>0</v>
      </c>
      <c r="D259" s="129">
        <v>0</v>
      </c>
      <c r="E259" s="130">
        <v>45109</v>
      </c>
    </row>
    <row r="260" spans="1:5" ht="24" customHeight="1" x14ac:dyDescent="0.3">
      <c r="A260" s="135" t="s">
        <v>45</v>
      </c>
      <c r="B260" s="135">
        <v>25.9</v>
      </c>
      <c r="C260" s="129">
        <v>0</v>
      </c>
      <c r="D260" s="129">
        <v>0</v>
      </c>
      <c r="E260" s="130">
        <v>45110</v>
      </c>
    </row>
    <row r="261" spans="1:5" ht="24" customHeight="1" x14ac:dyDescent="0.3">
      <c r="A261" s="138" t="s">
        <v>112</v>
      </c>
      <c r="B261" s="138">
        <v>0</v>
      </c>
      <c r="C261" s="129">
        <v>0</v>
      </c>
      <c r="D261" s="129">
        <v>0</v>
      </c>
      <c r="E261" s="130">
        <v>45110</v>
      </c>
    </row>
    <row r="262" spans="1:5" ht="24" customHeight="1" x14ac:dyDescent="0.3">
      <c r="A262" s="135" t="s">
        <v>19</v>
      </c>
      <c r="B262" s="135">
        <v>398</v>
      </c>
      <c r="C262" s="129">
        <v>0</v>
      </c>
      <c r="D262" s="129">
        <v>0</v>
      </c>
      <c r="E262" s="130">
        <v>45111</v>
      </c>
    </row>
    <row r="263" spans="1:5" ht="24" customHeight="1" x14ac:dyDescent="0.3">
      <c r="A263" s="138" t="s">
        <v>25</v>
      </c>
      <c r="B263" s="138">
        <v>13.95</v>
      </c>
      <c r="C263" s="129">
        <v>0</v>
      </c>
      <c r="D263" s="129">
        <v>0</v>
      </c>
      <c r="E263" s="130">
        <v>45111</v>
      </c>
    </row>
    <row r="264" spans="1:5" ht="24" customHeight="1" x14ac:dyDescent="0.3">
      <c r="A264" s="138" t="s">
        <v>112</v>
      </c>
      <c r="B264" s="138">
        <v>0</v>
      </c>
      <c r="C264" s="129">
        <v>0</v>
      </c>
      <c r="D264" s="129">
        <v>0</v>
      </c>
      <c r="E264" s="130">
        <v>45112</v>
      </c>
    </row>
    <row r="265" spans="1:5" ht="24" customHeight="1" x14ac:dyDescent="0.3">
      <c r="A265" s="138" t="s">
        <v>112</v>
      </c>
      <c r="B265" s="138">
        <v>0</v>
      </c>
      <c r="C265" s="129">
        <v>0</v>
      </c>
      <c r="D265" s="129">
        <v>0</v>
      </c>
      <c r="E265" s="130">
        <v>45113</v>
      </c>
    </row>
    <row r="266" spans="1:5" ht="24" customHeight="1" x14ac:dyDescent="0.3">
      <c r="A266" s="138" t="s">
        <v>112</v>
      </c>
      <c r="B266" s="138">
        <v>0</v>
      </c>
      <c r="C266" s="129">
        <v>0</v>
      </c>
      <c r="D266" s="129">
        <v>0</v>
      </c>
      <c r="E266" s="130">
        <v>45114</v>
      </c>
    </row>
    <row r="267" spans="1:5" ht="24" customHeight="1" x14ac:dyDescent="0.3">
      <c r="A267" s="138" t="s">
        <v>25</v>
      </c>
      <c r="B267" s="138">
        <v>2</v>
      </c>
      <c r="C267" s="129">
        <v>0</v>
      </c>
      <c r="D267" s="129">
        <v>0</v>
      </c>
      <c r="E267" s="130">
        <v>45115</v>
      </c>
    </row>
    <row r="268" spans="1:5" ht="24" customHeight="1" x14ac:dyDescent="0.3">
      <c r="A268" s="138" t="s">
        <v>25</v>
      </c>
      <c r="B268" s="138">
        <v>1</v>
      </c>
      <c r="C268" s="129">
        <v>0</v>
      </c>
      <c r="D268" s="129">
        <v>0</v>
      </c>
      <c r="E268" s="130">
        <v>45116</v>
      </c>
    </row>
    <row r="269" spans="1:5" ht="24" customHeight="1" x14ac:dyDescent="0.3">
      <c r="A269" s="138" t="s">
        <v>22</v>
      </c>
      <c r="B269" s="138">
        <v>12</v>
      </c>
      <c r="C269" s="129">
        <v>0</v>
      </c>
      <c r="D269" s="129">
        <v>0</v>
      </c>
      <c r="E269" s="130">
        <v>45116</v>
      </c>
    </row>
    <row r="270" spans="1:5" ht="24" customHeight="1" x14ac:dyDescent="0.3">
      <c r="A270" s="138" t="s">
        <v>22</v>
      </c>
      <c r="B270" s="138">
        <v>10</v>
      </c>
      <c r="C270" s="129">
        <v>0</v>
      </c>
      <c r="D270" s="129">
        <v>0</v>
      </c>
      <c r="E270" s="130">
        <v>45116</v>
      </c>
    </row>
    <row r="271" spans="1:5" ht="24" customHeight="1" x14ac:dyDescent="0.3">
      <c r="A271" s="135" t="s">
        <v>103</v>
      </c>
      <c r="B271" s="135">
        <v>2</v>
      </c>
      <c r="C271" s="129">
        <v>0</v>
      </c>
      <c r="D271" s="129">
        <v>0</v>
      </c>
      <c r="E271" s="130">
        <v>45117</v>
      </c>
    </row>
    <row r="272" spans="1:5" ht="24" customHeight="1" x14ac:dyDescent="0.3">
      <c r="A272" s="138" t="s">
        <v>22</v>
      </c>
      <c r="B272" s="138">
        <v>12</v>
      </c>
      <c r="C272" s="129">
        <v>0</v>
      </c>
      <c r="D272" s="129">
        <v>0</v>
      </c>
      <c r="E272" s="130">
        <v>45117</v>
      </c>
    </row>
    <row r="273" spans="1:5" ht="24" customHeight="1" x14ac:dyDescent="0.3">
      <c r="A273" s="138" t="s">
        <v>25</v>
      </c>
      <c r="B273" s="138">
        <v>1.8</v>
      </c>
      <c r="C273" s="129">
        <v>0</v>
      </c>
      <c r="D273" s="129">
        <v>0</v>
      </c>
      <c r="E273" s="130">
        <v>45118</v>
      </c>
    </row>
    <row r="274" spans="1:5" ht="24" customHeight="1" x14ac:dyDescent="0.3">
      <c r="A274" s="138" t="s">
        <v>112</v>
      </c>
      <c r="B274" s="138">
        <v>0</v>
      </c>
      <c r="C274" s="129">
        <v>0</v>
      </c>
      <c r="D274" s="129">
        <v>0</v>
      </c>
      <c r="E274" s="130">
        <v>45119</v>
      </c>
    </row>
    <row r="275" spans="1:5" ht="24" customHeight="1" x14ac:dyDescent="0.3">
      <c r="A275" s="135" t="s">
        <v>104</v>
      </c>
      <c r="B275" s="135">
        <v>53.1</v>
      </c>
      <c r="C275" s="129">
        <v>0</v>
      </c>
      <c r="D275" s="129">
        <v>0</v>
      </c>
      <c r="E275" s="130">
        <v>45120</v>
      </c>
    </row>
    <row r="276" spans="1:5" ht="24" customHeight="1" x14ac:dyDescent="0.3">
      <c r="A276" s="135" t="s">
        <v>45</v>
      </c>
      <c r="B276" s="135">
        <v>26</v>
      </c>
      <c r="C276" s="129">
        <v>0</v>
      </c>
      <c r="D276" s="129">
        <v>0</v>
      </c>
      <c r="E276" s="130">
        <v>45120</v>
      </c>
    </row>
    <row r="277" spans="1:5" ht="24" customHeight="1" x14ac:dyDescent="0.3">
      <c r="A277" s="138" t="s">
        <v>112</v>
      </c>
      <c r="B277" s="138">
        <v>0</v>
      </c>
      <c r="C277" s="129">
        <v>0</v>
      </c>
      <c r="D277" s="129">
        <v>0</v>
      </c>
      <c r="E277" s="130">
        <v>45120</v>
      </c>
    </row>
    <row r="278" spans="1:5" ht="24" customHeight="1" x14ac:dyDescent="0.3">
      <c r="A278" s="138" t="s">
        <v>112</v>
      </c>
      <c r="B278" s="138">
        <v>0</v>
      </c>
      <c r="C278" s="129">
        <v>0</v>
      </c>
      <c r="D278" s="129">
        <v>0</v>
      </c>
      <c r="E278" s="130">
        <v>45121</v>
      </c>
    </row>
    <row r="279" spans="1:5" ht="24" customHeight="1" x14ac:dyDescent="0.3">
      <c r="A279" s="138" t="s">
        <v>112</v>
      </c>
      <c r="B279" s="138">
        <v>0</v>
      </c>
      <c r="C279" s="129">
        <v>0</v>
      </c>
      <c r="D279" s="129">
        <v>0</v>
      </c>
      <c r="E279" s="130">
        <v>45122</v>
      </c>
    </row>
    <row r="280" spans="1:5" ht="24" customHeight="1" x14ac:dyDescent="0.3">
      <c r="A280" s="135" t="s">
        <v>45</v>
      </c>
      <c r="B280" s="135">
        <v>9</v>
      </c>
      <c r="C280" s="129">
        <v>0</v>
      </c>
      <c r="D280" s="129">
        <v>0</v>
      </c>
      <c r="E280" s="130">
        <v>45123</v>
      </c>
    </row>
    <row r="281" spans="1:5" ht="24" customHeight="1" x14ac:dyDescent="0.3">
      <c r="A281" s="135" t="s">
        <v>45</v>
      </c>
      <c r="B281" s="135">
        <v>30</v>
      </c>
      <c r="C281" s="129">
        <v>0</v>
      </c>
      <c r="D281" s="129">
        <v>0</v>
      </c>
      <c r="E281" s="130">
        <v>45123</v>
      </c>
    </row>
    <row r="282" spans="1:5" ht="24" customHeight="1" x14ac:dyDescent="0.3">
      <c r="A282" s="138" t="s">
        <v>25</v>
      </c>
      <c r="B282" s="138">
        <v>1</v>
      </c>
      <c r="C282" s="129">
        <v>0</v>
      </c>
      <c r="D282" s="129">
        <v>0</v>
      </c>
      <c r="E282" s="130">
        <v>45123</v>
      </c>
    </row>
    <row r="283" spans="1:5" ht="24" customHeight="1" x14ac:dyDescent="0.3">
      <c r="A283" s="138" t="s">
        <v>25</v>
      </c>
      <c r="B283" s="138">
        <v>1</v>
      </c>
      <c r="C283" s="129">
        <v>0</v>
      </c>
      <c r="D283" s="129">
        <v>0</v>
      </c>
      <c r="E283" s="130">
        <v>45124</v>
      </c>
    </row>
    <row r="284" spans="1:5" ht="24" customHeight="1" x14ac:dyDescent="0.3">
      <c r="A284" s="135" t="s">
        <v>19</v>
      </c>
      <c r="B284" s="135">
        <v>398</v>
      </c>
      <c r="C284" s="129">
        <v>0</v>
      </c>
      <c r="D284" s="129">
        <v>0</v>
      </c>
      <c r="E284" s="130">
        <v>45125</v>
      </c>
    </row>
    <row r="285" spans="1:5" ht="24" customHeight="1" x14ac:dyDescent="0.3">
      <c r="A285" s="138" t="s">
        <v>25</v>
      </c>
      <c r="B285" s="138">
        <v>3.37</v>
      </c>
      <c r="C285" s="129">
        <v>0</v>
      </c>
      <c r="D285" s="129">
        <v>0</v>
      </c>
      <c r="E285" s="130">
        <v>45125</v>
      </c>
    </row>
    <row r="286" spans="1:5" ht="24" customHeight="1" x14ac:dyDescent="0.3">
      <c r="A286" s="138" t="s">
        <v>22</v>
      </c>
      <c r="B286" s="138">
        <v>53.55</v>
      </c>
      <c r="C286" s="129">
        <v>0</v>
      </c>
      <c r="D286" s="129">
        <v>0</v>
      </c>
      <c r="E286" s="130">
        <v>45125</v>
      </c>
    </row>
    <row r="287" spans="1:5" ht="24" customHeight="1" x14ac:dyDescent="0.3">
      <c r="A287" s="138" t="s">
        <v>25</v>
      </c>
      <c r="B287" s="138">
        <v>15.06</v>
      </c>
      <c r="C287" s="129">
        <v>0</v>
      </c>
      <c r="D287" s="129">
        <v>0</v>
      </c>
      <c r="E287" s="130">
        <v>45126</v>
      </c>
    </row>
    <row r="288" spans="1:5" ht="24" customHeight="1" x14ac:dyDescent="0.3">
      <c r="A288" s="138" t="s">
        <v>112</v>
      </c>
      <c r="B288" s="138">
        <v>0</v>
      </c>
      <c r="C288" s="129">
        <v>0</v>
      </c>
      <c r="D288" s="129">
        <v>0</v>
      </c>
      <c r="E288" s="130">
        <v>45127</v>
      </c>
    </row>
    <row r="289" spans="1:5" ht="24" customHeight="1" x14ac:dyDescent="0.3">
      <c r="A289" s="138" t="s">
        <v>112</v>
      </c>
      <c r="B289" s="138">
        <v>0</v>
      </c>
      <c r="C289" s="129">
        <v>0</v>
      </c>
      <c r="D289" s="129">
        <v>0</v>
      </c>
      <c r="E289" s="130">
        <v>45128</v>
      </c>
    </row>
    <row r="290" spans="1:5" ht="24" customHeight="1" x14ac:dyDescent="0.3">
      <c r="A290" s="138" t="s">
        <v>25</v>
      </c>
      <c r="B290" s="138">
        <v>1.8</v>
      </c>
      <c r="C290" s="129">
        <v>0</v>
      </c>
      <c r="D290" s="129">
        <v>0</v>
      </c>
      <c r="E290" s="130">
        <v>45129</v>
      </c>
    </row>
    <row r="291" spans="1:5" ht="24" customHeight="1" x14ac:dyDescent="0.3">
      <c r="A291" s="138" t="s">
        <v>112</v>
      </c>
      <c r="B291" s="138">
        <v>0</v>
      </c>
      <c r="C291" s="129">
        <v>0</v>
      </c>
      <c r="D291" s="129">
        <v>0</v>
      </c>
      <c r="E291" s="130">
        <v>45130</v>
      </c>
    </row>
    <row r="292" spans="1:5" ht="24" customHeight="1" x14ac:dyDescent="0.3">
      <c r="A292" s="138" t="s">
        <v>112</v>
      </c>
      <c r="B292" s="138">
        <v>0</v>
      </c>
      <c r="C292" s="129">
        <v>0</v>
      </c>
      <c r="D292" s="129">
        <v>0</v>
      </c>
      <c r="E292" s="130">
        <v>45131</v>
      </c>
    </row>
    <row r="293" spans="1:5" ht="24" customHeight="1" x14ac:dyDescent="0.3">
      <c r="A293" s="135" t="s">
        <v>103</v>
      </c>
      <c r="B293" s="135">
        <v>2</v>
      </c>
      <c r="C293" s="129">
        <v>0</v>
      </c>
      <c r="D293" s="129">
        <v>0</v>
      </c>
      <c r="E293" s="130">
        <v>45132</v>
      </c>
    </row>
    <row r="294" spans="1:5" ht="24" customHeight="1" x14ac:dyDescent="0.3">
      <c r="A294" s="138" t="s">
        <v>25</v>
      </c>
      <c r="B294" s="138">
        <v>8.5</v>
      </c>
      <c r="C294" s="129">
        <v>0</v>
      </c>
      <c r="D294" s="129">
        <v>0</v>
      </c>
      <c r="E294" s="130">
        <v>45132</v>
      </c>
    </row>
    <row r="295" spans="1:5" ht="24" customHeight="1" x14ac:dyDescent="0.3">
      <c r="A295" s="138" t="s">
        <v>22</v>
      </c>
      <c r="B295" s="138">
        <v>5.04</v>
      </c>
      <c r="C295" s="129">
        <v>0</v>
      </c>
      <c r="D295" s="129">
        <v>0</v>
      </c>
      <c r="E295" s="130">
        <v>45132</v>
      </c>
    </row>
    <row r="296" spans="1:5" ht="24" customHeight="1" x14ac:dyDescent="0.3">
      <c r="A296" s="138" t="s">
        <v>22</v>
      </c>
      <c r="B296" s="138">
        <v>48.3</v>
      </c>
      <c r="C296" s="129">
        <v>0</v>
      </c>
      <c r="D296" s="129">
        <v>0</v>
      </c>
      <c r="E296" s="130">
        <v>45132</v>
      </c>
    </row>
    <row r="297" spans="1:5" ht="24" customHeight="1" x14ac:dyDescent="0.3">
      <c r="A297" s="135" t="s">
        <v>103</v>
      </c>
      <c r="B297" s="135">
        <v>7.5</v>
      </c>
      <c r="C297" s="129">
        <v>0</v>
      </c>
      <c r="D297" s="129">
        <v>0</v>
      </c>
      <c r="E297" s="130">
        <v>45133</v>
      </c>
    </row>
    <row r="298" spans="1:5" ht="24" customHeight="1" x14ac:dyDescent="0.3">
      <c r="A298" s="138" t="s">
        <v>22</v>
      </c>
      <c r="B298" s="138">
        <v>1.75</v>
      </c>
      <c r="C298" s="129">
        <v>0</v>
      </c>
      <c r="D298" s="129">
        <v>0</v>
      </c>
      <c r="E298" s="130">
        <v>45133</v>
      </c>
    </row>
    <row r="299" spans="1:5" ht="24" customHeight="1" x14ac:dyDescent="0.3">
      <c r="A299" s="138" t="s">
        <v>112</v>
      </c>
      <c r="B299" s="138">
        <v>0</v>
      </c>
      <c r="C299" s="129">
        <v>0</v>
      </c>
      <c r="D299" s="129">
        <v>0</v>
      </c>
      <c r="E299" s="130">
        <v>45134</v>
      </c>
    </row>
    <row r="300" spans="1:5" ht="24" customHeight="1" x14ac:dyDescent="0.3">
      <c r="A300" s="138" t="s">
        <v>25</v>
      </c>
      <c r="B300" s="138">
        <v>1.8</v>
      </c>
      <c r="C300" s="129">
        <v>0</v>
      </c>
      <c r="D300" s="129">
        <v>0</v>
      </c>
      <c r="E300" s="130">
        <v>45135</v>
      </c>
    </row>
    <row r="301" spans="1:5" ht="24" customHeight="1" x14ac:dyDescent="0.3">
      <c r="A301" s="138" t="s">
        <v>25</v>
      </c>
      <c r="B301" s="138">
        <v>1</v>
      </c>
      <c r="C301" s="129">
        <v>0</v>
      </c>
      <c r="D301" s="129">
        <v>0</v>
      </c>
      <c r="E301" s="130">
        <v>45136</v>
      </c>
    </row>
    <row r="302" spans="1:5" ht="24" customHeight="1" x14ac:dyDescent="0.3">
      <c r="A302" s="138" t="s">
        <v>25</v>
      </c>
      <c r="B302" s="138">
        <v>2.8</v>
      </c>
      <c r="C302" s="129">
        <v>0</v>
      </c>
      <c r="D302" s="129">
        <v>0</v>
      </c>
      <c r="E302" s="130">
        <v>45137</v>
      </c>
    </row>
    <row r="303" spans="1:5" ht="24" customHeight="1" x14ac:dyDescent="0.3">
      <c r="A303" s="138" t="s">
        <v>22</v>
      </c>
      <c r="B303" s="138">
        <v>99</v>
      </c>
      <c r="C303" s="129">
        <v>0</v>
      </c>
      <c r="D303" s="129">
        <v>0</v>
      </c>
      <c r="E303" s="130">
        <v>45138</v>
      </c>
    </row>
    <row r="304" spans="1:5" ht="24" customHeight="1" x14ac:dyDescent="0.3">
      <c r="A304" s="135" t="s">
        <v>103</v>
      </c>
      <c r="B304" s="135">
        <v>2</v>
      </c>
      <c r="C304" s="129">
        <v>0</v>
      </c>
      <c r="D304" s="129">
        <v>0</v>
      </c>
      <c r="E304" s="130">
        <v>45139</v>
      </c>
    </row>
    <row r="305" spans="1:5" ht="24" customHeight="1" x14ac:dyDescent="0.3">
      <c r="A305" s="135" t="s">
        <v>19</v>
      </c>
      <c r="B305" s="135">
        <v>398</v>
      </c>
      <c r="C305" s="129">
        <v>0</v>
      </c>
      <c r="D305" s="129">
        <v>0</v>
      </c>
      <c r="E305" s="130">
        <v>45139</v>
      </c>
    </row>
    <row r="306" spans="1:5" ht="24" customHeight="1" x14ac:dyDescent="0.3">
      <c r="A306" s="138" t="s">
        <v>112</v>
      </c>
      <c r="B306" s="138">
        <v>0</v>
      </c>
      <c r="C306" s="129">
        <v>0</v>
      </c>
      <c r="D306" s="129">
        <v>0</v>
      </c>
      <c r="E306" s="130">
        <v>45139</v>
      </c>
    </row>
    <row r="307" spans="1:5" ht="24" customHeight="1" x14ac:dyDescent="0.3">
      <c r="A307" s="138" t="s">
        <v>25</v>
      </c>
      <c r="B307" s="138">
        <v>1.1499999999999999</v>
      </c>
      <c r="C307" s="129">
        <v>0</v>
      </c>
      <c r="D307" s="129">
        <v>0</v>
      </c>
      <c r="E307" s="130">
        <v>45140</v>
      </c>
    </row>
    <row r="308" spans="1:5" ht="24" customHeight="1" x14ac:dyDescent="0.3">
      <c r="A308" s="135" t="s">
        <v>45</v>
      </c>
      <c r="B308" s="135">
        <v>5.63</v>
      </c>
      <c r="C308" s="129">
        <v>0</v>
      </c>
      <c r="D308" s="129">
        <v>0</v>
      </c>
      <c r="E308" s="130">
        <v>45141</v>
      </c>
    </row>
    <row r="309" spans="1:5" ht="24" customHeight="1" x14ac:dyDescent="0.3">
      <c r="A309" s="138" t="s">
        <v>25</v>
      </c>
      <c r="B309" s="138">
        <v>4</v>
      </c>
      <c r="C309" s="129">
        <v>0</v>
      </c>
      <c r="D309" s="129">
        <v>0</v>
      </c>
      <c r="E309" s="130">
        <v>45141</v>
      </c>
    </row>
    <row r="310" spans="1:5" ht="24" customHeight="1" x14ac:dyDescent="0.3">
      <c r="A310" s="138" t="s">
        <v>25</v>
      </c>
      <c r="B310" s="138">
        <v>2.83</v>
      </c>
      <c r="C310" s="129">
        <v>0</v>
      </c>
      <c r="D310" s="129">
        <v>0</v>
      </c>
      <c r="E310" s="130">
        <v>45142</v>
      </c>
    </row>
    <row r="311" spans="1:5" ht="24" customHeight="1" x14ac:dyDescent="0.3">
      <c r="A311" s="135" t="s">
        <v>103</v>
      </c>
      <c r="B311" s="135">
        <v>13</v>
      </c>
      <c r="C311" s="129">
        <v>0</v>
      </c>
      <c r="D311" s="129">
        <v>0</v>
      </c>
      <c r="E311" s="130">
        <v>45143</v>
      </c>
    </row>
    <row r="312" spans="1:5" ht="24" customHeight="1" x14ac:dyDescent="0.3">
      <c r="A312" s="138" t="s">
        <v>25</v>
      </c>
      <c r="B312" s="138">
        <v>16</v>
      </c>
      <c r="C312" s="129">
        <v>0</v>
      </c>
      <c r="D312" s="129">
        <v>0</v>
      </c>
      <c r="E312" s="130">
        <v>45143</v>
      </c>
    </row>
    <row r="313" spans="1:5" ht="24" customHeight="1" x14ac:dyDescent="0.3">
      <c r="A313" s="138" t="s">
        <v>25</v>
      </c>
      <c r="B313" s="138">
        <v>1.1499999999999999</v>
      </c>
      <c r="C313" s="129">
        <v>0</v>
      </c>
      <c r="D313" s="129">
        <v>0</v>
      </c>
      <c r="E313" s="130">
        <v>45144</v>
      </c>
    </row>
    <row r="314" spans="1:5" ht="24" customHeight="1" x14ac:dyDescent="0.3">
      <c r="A314" s="138" t="s">
        <v>25</v>
      </c>
      <c r="B314" s="138">
        <v>2.5</v>
      </c>
      <c r="C314" s="129">
        <v>0</v>
      </c>
      <c r="D314" s="129">
        <v>0</v>
      </c>
      <c r="E314" s="130">
        <v>45145</v>
      </c>
    </row>
    <row r="315" spans="1:5" ht="24" customHeight="1" x14ac:dyDescent="0.3">
      <c r="A315" s="138" t="s">
        <v>25</v>
      </c>
      <c r="B315" s="138">
        <v>9.6300000000000008</v>
      </c>
      <c r="C315" s="129">
        <v>0</v>
      </c>
      <c r="D315" s="129">
        <v>0</v>
      </c>
      <c r="E315" s="130">
        <v>45145</v>
      </c>
    </row>
    <row r="316" spans="1:5" ht="24" customHeight="1" x14ac:dyDescent="0.3">
      <c r="A316" s="138" t="s">
        <v>22</v>
      </c>
      <c r="B316" s="138">
        <v>2.15</v>
      </c>
      <c r="C316" s="129">
        <v>0</v>
      </c>
      <c r="D316" s="129">
        <v>0</v>
      </c>
      <c r="E316" s="130">
        <v>45146</v>
      </c>
    </row>
    <row r="317" spans="1:5" ht="24" customHeight="1" x14ac:dyDescent="0.3">
      <c r="A317" s="138" t="s">
        <v>25</v>
      </c>
      <c r="B317" s="138">
        <v>6</v>
      </c>
      <c r="C317" s="129">
        <v>0</v>
      </c>
      <c r="D317" s="129">
        <v>0</v>
      </c>
      <c r="E317" s="130">
        <v>45147</v>
      </c>
    </row>
    <row r="318" spans="1:5" ht="24" customHeight="1" x14ac:dyDescent="0.3">
      <c r="A318" s="135" t="s">
        <v>103</v>
      </c>
      <c r="B318" s="135">
        <v>3</v>
      </c>
      <c r="C318" s="129">
        <v>0</v>
      </c>
      <c r="D318" s="129">
        <v>0</v>
      </c>
      <c r="E318" s="130">
        <v>45148</v>
      </c>
    </row>
    <row r="319" spans="1:5" ht="24" customHeight="1" x14ac:dyDescent="0.3">
      <c r="A319" s="138" t="s">
        <v>25</v>
      </c>
      <c r="B319" s="138">
        <v>2</v>
      </c>
      <c r="C319" s="129">
        <v>0</v>
      </c>
      <c r="D319" s="129">
        <v>0</v>
      </c>
      <c r="E319" s="130">
        <v>45148</v>
      </c>
    </row>
    <row r="320" spans="1:5" ht="24" customHeight="1" x14ac:dyDescent="0.3">
      <c r="A320" s="138" t="s">
        <v>25</v>
      </c>
      <c r="B320" s="138">
        <v>16</v>
      </c>
      <c r="C320" s="129">
        <v>0</v>
      </c>
      <c r="D320" s="129">
        <v>0</v>
      </c>
      <c r="E320" s="130">
        <v>45149</v>
      </c>
    </row>
    <row r="321" spans="1:5" ht="24" customHeight="1" x14ac:dyDescent="0.3">
      <c r="A321" s="138" t="s">
        <v>22</v>
      </c>
      <c r="B321" s="138">
        <v>66.86</v>
      </c>
      <c r="C321" s="129">
        <v>0</v>
      </c>
      <c r="D321" s="129">
        <v>0</v>
      </c>
      <c r="E321" s="130">
        <v>45150</v>
      </c>
    </row>
    <row r="322" spans="1:5" ht="24" customHeight="1" x14ac:dyDescent="0.3">
      <c r="A322" s="138" t="s">
        <v>22</v>
      </c>
      <c r="B322" s="138">
        <v>20.350000000000001</v>
      </c>
      <c r="C322" s="129">
        <v>0</v>
      </c>
      <c r="D322" s="129">
        <v>0</v>
      </c>
      <c r="E322" s="130">
        <v>45151</v>
      </c>
    </row>
    <row r="323" spans="1:5" ht="24" customHeight="1" x14ac:dyDescent="0.3">
      <c r="A323" s="138" t="s">
        <v>25</v>
      </c>
      <c r="B323" s="138">
        <v>3.1</v>
      </c>
      <c r="C323" s="129">
        <v>0</v>
      </c>
      <c r="D323" s="129">
        <v>0</v>
      </c>
      <c r="E323" s="130">
        <v>45152</v>
      </c>
    </row>
    <row r="324" spans="1:5" ht="24" customHeight="1" x14ac:dyDescent="0.3">
      <c r="A324" s="135" t="s">
        <v>19</v>
      </c>
      <c r="B324" s="135">
        <v>398</v>
      </c>
      <c r="C324" s="129">
        <v>0</v>
      </c>
      <c r="D324" s="129">
        <v>0</v>
      </c>
      <c r="E324" s="130">
        <v>45153</v>
      </c>
    </row>
    <row r="325" spans="1:5" ht="24" customHeight="1" x14ac:dyDescent="0.3">
      <c r="A325" s="138" t="s">
        <v>25</v>
      </c>
      <c r="B325" s="138">
        <v>1.8</v>
      </c>
      <c r="C325" s="129">
        <v>0</v>
      </c>
      <c r="D325" s="129">
        <v>0</v>
      </c>
      <c r="E325" s="130">
        <v>45153</v>
      </c>
    </row>
    <row r="326" spans="1:5" ht="24" customHeight="1" x14ac:dyDescent="0.3">
      <c r="A326" s="135" t="s">
        <v>104</v>
      </c>
      <c r="B326" s="135">
        <v>53.1</v>
      </c>
      <c r="C326" s="129">
        <v>0</v>
      </c>
      <c r="D326" s="129">
        <v>0</v>
      </c>
      <c r="E326" s="130">
        <v>45154</v>
      </c>
    </row>
    <row r="327" spans="1:5" ht="24" customHeight="1" x14ac:dyDescent="0.3">
      <c r="A327" s="138" t="s">
        <v>25</v>
      </c>
      <c r="B327" s="138">
        <v>12</v>
      </c>
      <c r="C327" s="129">
        <v>0</v>
      </c>
      <c r="D327" s="129">
        <v>0</v>
      </c>
      <c r="E327" s="130">
        <v>45154</v>
      </c>
    </row>
    <row r="328" spans="1:5" ht="24" customHeight="1" x14ac:dyDescent="0.3">
      <c r="A328" s="138" t="s">
        <v>25</v>
      </c>
      <c r="B328" s="138">
        <v>16</v>
      </c>
      <c r="C328" s="129">
        <v>0</v>
      </c>
      <c r="D328" s="129">
        <v>0</v>
      </c>
      <c r="E328" s="130">
        <v>45155</v>
      </c>
    </row>
    <row r="329" spans="1:5" ht="24" customHeight="1" x14ac:dyDescent="0.3">
      <c r="A329" s="138" t="s">
        <v>25</v>
      </c>
      <c r="B329" s="138">
        <v>1.8</v>
      </c>
      <c r="C329" s="129">
        <v>0</v>
      </c>
      <c r="D329" s="129">
        <v>0</v>
      </c>
      <c r="E329" s="130">
        <v>45156</v>
      </c>
    </row>
    <row r="330" spans="1:5" ht="24" customHeight="1" x14ac:dyDescent="0.3">
      <c r="A330" s="138" t="s">
        <v>25</v>
      </c>
      <c r="B330" s="138">
        <v>1.8</v>
      </c>
      <c r="C330" s="129">
        <v>0</v>
      </c>
      <c r="D330" s="129">
        <v>0</v>
      </c>
      <c r="E330" s="130">
        <v>45157</v>
      </c>
    </row>
    <row r="331" spans="1:5" ht="24" customHeight="1" x14ac:dyDescent="0.3">
      <c r="A331" s="138" t="s">
        <v>112</v>
      </c>
      <c r="B331" s="138">
        <v>0</v>
      </c>
      <c r="C331" s="129">
        <v>0</v>
      </c>
      <c r="D331" s="129">
        <v>0</v>
      </c>
      <c r="E331" s="130">
        <v>45158</v>
      </c>
    </row>
    <row r="332" spans="1:5" ht="24" customHeight="1" x14ac:dyDescent="0.3">
      <c r="A332" s="138" t="s">
        <v>25</v>
      </c>
      <c r="B332" s="138">
        <v>19</v>
      </c>
      <c r="C332" s="129">
        <v>0</v>
      </c>
      <c r="D332" s="129">
        <v>0</v>
      </c>
      <c r="E332" s="130">
        <v>45159</v>
      </c>
    </row>
    <row r="333" spans="1:5" ht="24" customHeight="1" x14ac:dyDescent="0.3">
      <c r="A333" s="138" t="s">
        <v>25</v>
      </c>
      <c r="B333" s="138">
        <v>1.8</v>
      </c>
      <c r="C333" s="129">
        <v>0</v>
      </c>
      <c r="D333" s="129">
        <v>0</v>
      </c>
      <c r="E333" s="130">
        <v>45160</v>
      </c>
    </row>
    <row r="334" spans="1:5" ht="24" customHeight="1" x14ac:dyDescent="0.3">
      <c r="A334" s="138" t="s">
        <v>22</v>
      </c>
      <c r="B334" s="138">
        <v>52.36</v>
      </c>
      <c r="C334" s="129">
        <v>0</v>
      </c>
      <c r="D334" s="129">
        <v>0</v>
      </c>
      <c r="E334" s="130">
        <v>45160</v>
      </c>
    </row>
    <row r="335" spans="1:5" ht="24" customHeight="1" x14ac:dyDescent="0.3">
      <c r="A335" s="135" t="s">
        <v>103</v>
      </c>
      <c r="B335" s="135">
        <v>3</v>
      </c>
      <c r="C335" s="129">
        <v>0</v>
      </c>
      <c r="D335" s="129">
        <v>0</v>
      </c>
      <c r="E335" s="130">
        <v>45161</v>
      </c>
    </row>
    <row r="336" spans="1:5" ht="24" customHeight="1" x14ac:dyDescent="0.3">
      <c r="A336" s="138" t="s">
        <v>25</v>
      </c>
      <c r="B336" s="138">
        <v>2.8</v>
      </c>
      <c r="C336" s="129">
        <v>0</v>
      </c>
      <c r="D336" s="129">
        <v>0</v>
      </c>
      <c r="E336" s="130">
        <v>45161</v>
      </c>
    </row>
    <row r="337" spans="1:5" ht="24" customHeight="1" x14ac:dyDescent="0.3">
      <c r="A337" s="138" t="s">
        <v>112</v>
      </c>
      <c r="B337" s="138">
        <v>0</v>
      </c>
      <c r="C337" s="129">
        <v>0</v>
      </c>
      <c r="D337" s="129">
        <v>0</v>
      </c>
      <c r="E337" s="130">
        <v>45162</v>
      </c>
    </row>
    <row r="338" spans="1:5" ht="24" customHeight="1" x14ac:dyDescent="0.3">
      <c r="A338" s="138" t="s">
        <v>25</v>
      </c>
      <c r="B338" s="138">
        <v>2</v>
      </c>
      <c r="C338" s="129">
        <v>0</v>
      </c>
      <c r="D338" s="129">
        <v>0</v>
      </c>
      <c r="E338" s="130">
        <v>45163</v>
      </c>
    </row>
    <row r="339" spans="1:5" ht="24" customHeight="1" x14ac:dyDescent="0.3">
      <c r="A339" s="135" t="s">
        <v>45</v>
      </c>
      <c r="B339" s="135">
        <v>22.8</v>
      </c>
      <c r="C339" s="129">
        <v>0</v>
      </c>
      <c r="D339" s="129">
        <v>0</v>
      </c>
      <c r="E339" s="130">
        <v>45164</v>
      </c>
    </row>
    <row r="340" spans="1:5" ht="24" customHeight="1" x14ac:dyDescent="0.3">
      <c r="A340" s="138" t="s">
        <v>25</v>
      </c>
      <c r="B340" s="138">
        <v>24.5</v>
      </c>
      <c r="C340" s="129">
        <v>0</v>
      </c>
      <c r="D340" s="129">
        <v>0</v>
      </c>
      <c r="E340" s="130">
        <v>45164</v>
      </c>
    </row>
    <row r="341" spans="1:5" ht="24" customHeight="1" x14ac:dyDescent="0.3">
      <c r="A341" s="135" t="s">
        <v>103</v>
      </c>
      <c r="B341" s="135">
        <v>25.55</v>
      </c>
      <c r="C341" s="129">
        <v>0</v>
      </c>
      <c r="D341" s="129">
        <v>0</v>
      </c>
      <c r="E341" s="130">
        <v>45165</v>
      </c>
    </row>
    <row r="342" spans="1:5" ht="24" customHeight="1" x14ac:dyDescent="0.3">
      <c r="A342" s="138" t="s">
        <v>22</v>
      </c>
      <c r="B342" s="138">
        <v>37.9</v>
      </c>
      <c r="C342" s="129">
        <v>0</v>
      </c>
      <c r="D342" s="129">
        <v>0</v>
      </c>
      <c r="E342" s="130">
        <v>45165</v>
      </c>
    </row>
    <row r="343" spans="1:5" ht="24" customHeight="1" x14ac:dyDescent="0.3">
      <c r="A343" s="135" t="s">
        <v>45</v>
      </c>
      <c r="B343" s="135">
        <v>110</v>
      </c>
      <c r="C343" s="129">
        <v>0</v>
      </c>
      <c r="D343" s="129">
        <v>0</v>
      </c>
      <c r="E343" s="130">
        <v>45166</v>
      </c>
    </row>
    <row r="344" spans="1:5" ht="24" customHeight="1" x14ac:dyDescent="0.3">
      <c r="A344" s="138" t="s">
        <v>112</v>
      </c>
      <c r="B344" s="138">
        <v>0</v>
      </c>
      <c r="C344" s="129">
        <v>0</v>
      </c>
      <c r="D344" s="129">
        <v>0</v>
      </c>
      <c r="E344" s="130">
        <v>45166</v>
      </c>
    </row>
    <row r="345" spans="1:5" ht="24" customHeight="1" x14ac:dyDescent="0.3">
      <c r="A345" s="135" t="s">
        <v>19</v>
      </c>
      <c r="B345" s="135">
        <v>398</v>
      </c>
      <c r="C345" s="129">
        <v>0</v>
      </c>
      <c r="D345" s="129">
        <v>0</v>
      </c>
      <c r="E345" s="130">
        <v>45167</v>
      </c>
    </row>
    <row r="346" spans="1:5" ht="24" customHeight="1" x14ac:dyDescent="0.3">
      <c r="A346" s="138" t="s">
        <v>25</v>
      </c>
      <c r="B346" s="138">
        <v>13.2</v>
      </c>
      <c r="C346" s="129">
        <v>0</v>
      </c>
      <c r="D346" s="129">
        <v>0</v>
      </c>
      <c r="E346" s="130">
        <v>45167</v>
      </c>
    </row>
    <row r="347" spans="1:5" ht="24" customHeight="1" x14ac:dyDescent="0.3">
      <c r="A347" s="135" t="s">
        <v>103</v>
      </c>
      <c r="B347" s="135">
        <v>5</v>
      </c>
      <c r="C347" s="129">
        <v>0</v>
      </c>
      <c r="D347" s="129">
        <v>0</v>
      </c>
      <c r="E347" s="130">
        <v>45168</v>
      </c>
    </row>
    <row r="348" spans="1:5" ht="24" customHeight="1" x14ac:dyDescent="0.3">
      <c r="A348" s="138" t="s">
        <v>112</v>
      </c>
      <c r="B348" s="138">
        <v>0</v>
      </c>
      <c r="C348" s="129">
        <v>0</v>
      </c>
      <c r="D348" s="129">
        <v>0</v>
      </c>
      <c r="E348" s="130">
        <v>45168</v>
      </c>
    </row>
    <row r="349" spans="1:5" ht="24" customHeight="1" x14ac:dyDescent="0.3">
      <c r="A349" s="138" t="s">
        <v>25</v>
      </c>
      <c r="B349" s="138">
        <v>27</v>
      </c>
      <c r="C349" s="129">
        <v>0</v>
      </c>
      <c r="D349" s="129">
        <v>0</v>
      </c>
      <c r="E349" s="130">
        <v>45169</v>
      </c>
    </row>
    <row r="350" spans="1:5" ht="24" customHeight="1" x14ac:dyDescent="0.3">
      <c r="A350" s="138" t="s">
        <v>22</v>
      </c>
      <c r="B350" s="138">
        <v>42</v>
      </c>
      <c r="C350" s="129">
        <v>0</v>
      </c>
      <c r="D350" s="129">
        <v>0</v>
      </c>
      <c r="E350" s="130">
        <v>45170</v>
      </c>
    </row>
    <row r="351" spans="1:5" ht="24" customHeight="1" x14ac:dyDescent="0.3">
      <c r="A351" s="138" t="s">
        <v>25</v>
      </c>
      <c r="B351" s="138">
        <v>3.15</v>
      </c>
      <c r="C351" s="129">
        <v>0</v>
      </c>
      <c r="D351" s="129">
        <v>0</v>
      </c>
      <c r="E351" s="130">
        <v>45171</v>
      </c>
    </row>
    <row r="352" spans="1:5" ht="24" customHeight="1" x14ac:dyDescent="0.3">
      <c r="A352" s="138" t="s">
        <v>25</v>
      </c>
      <c r="B352" s="138">
        <v>17.5</v>
      </c>
      <c r="C352" s="129">
        <v>0</v>
      </c>
      <c r="D352" s="129">
        <v>0</v>
      </c>
      <c r="E352" s="130">
        <v>45172</v>
      </c>
    </row>
    <row r="353" spans="1:5" ht="24" customHeight="1" x14ac:dyDescent="0.3">
      <c r="A353" s="138" t="s">
        <v>25</v>
      </c>
      <c r="B353" s="138">
        <v>2.15</v>
      </c>
      <c r="C353" s="129">
        <v>0</v>
      </c>
      <c r="D353" s="129">
        <v>0</v>
      </c>
      <c r="E353" s="130">
        <v>45173</v>
      </c>
    </row>
    <row r="354" spans="1:5" ht="24" customHeight="1" x14ac:dyDescent="0.3">
      <c r="A354" s="138" t="s">
        <v>22</v>
      </c>
      <c r="B354" s="138">
        <v>50.2</v>
      </c>
      <c r="C354" s="129">
        <v>0</v>
      </c>
      <c r="D354" s="129">
        <v>0</v>
      </c>
      <c r="E354" s="130">
        <v>45173</v>
      </c>
    </row>
    <row r="355" spans="1:5" ht="24" customHeight="1" x14ac:dyDescent="0.3">
      <c r="A355" s="138" t="s">
        <v>25</v>
      </c>
      <c r="B355" s="138">
        <v>5.07</v>
      </c>
      <c r="C355" s="129">
        <v>0</v>
      </c>
      <c r="D355" s="129">
        <v>0</v>
      </c>
      <c r="E355" s="130">
        <v>45174</v>
      </c>
    </row>
    <row r="356" spans="1:5" ht="24" customHeight="1" x14ac:dyDescent="0.3">
      <c r="A356" s="138" t="s">
        <v>112</v>
      </c>
      <c r="B356" s="138">
        <v>0</v>
      </c>
      <c r="C356" s="129">
        <v>0</v>
      </c>
      <c r="D356" s="129">
        <v>0</v>
      </c>
      <c r="E356" s="130">
        <v>45175</v>
      </c>
    </row>
    <row r="357" spans="1:5" ht="24" customHeight="1" x14ac:dyDescent="0.3">
      <c r="A357" s="138" t="s">
        <v>25</v>
      </c>
      <c r="B357" s="138">
        <v>15.12</v>
      </c>
      <c r="C357" s="129">
        <v>0</v>
      </c>
      <c r="D357" s="129">
        <v>0</v>
      </c>
      <c r="E357" s="130">
        <v>45176</v>
      </c>
    </row>
    <row r="358" spans="1:5" ht="24" customHeight="1" x14ac:dyDescent="0.3">
      <c r="A358" s="138" t="s">
        <v>25</v>
      </c>
      <c r="B358" s="138">
        <v>4.5999999999999996</v>
      </c>
      <c r="C358" s="129">
        <v>0</v>
      </c>
      <c r="D358" s="129">
        <v>0</v>
      </c>
      <c r="E358" s="130">
        <v>45177</v>
      </c>
    </row>
    <row r="359" spans="1:5" ht="24" customHeight="1" x14ac:dyDescent="0.3">
      <c r="A359" s="135" t="s">
        <v>45</v>
      </c>
      <c r="B359" s="135">
        <v>14.1</v>
      </c>
      <c r="C359" s="129">
        <v>0</v>
      </c>
      <c r="D359" s="129">
        <v>0</v>
      </c>
      <c r="E359" s="130">
        <v>45178</v>
      </c>
    </row>
    <row r="360" spans="1:5" ht="24" customHeight="1" x14ac:dyDescent="0.3">
      <c r="A360" s="138" t="s">
        <v>25</v>
      </c>
      <c r="B360" s="138">
        <v>9</v>
      </c>
      <c r="C360" s="129">
        <v>0</v>
      </c>
      <c r="D360" s="129">
        <v>0</v>
      </c>
      <c r="E360" s="130">
        <v>45178</v>
      </c>
    </row>
    <row r="361" spans="1:5" ht="24" customHeight="1" x14ac:dyDescent="0.3">
      <c r="A361" s="138" t="s">
        <v>112</v>
      </c>
      <c r="B361" s="138">
        <v>0</v>
      </c>
      <c r="C361" s="129">
        <v>0</v>
      </c>
      <c r="D361" s="129">
        <v>0</v>
      </c>
      <c r="E361" s="130">
        <v>45179</v>
      </c>
    </row>
    <row r="362" spans="1:5" ht="24" customHeight="1" x14ac:dyDescent="0.3">
      <c r="A362" s="138" t="s">
        <v>112</v>
      </c>
      <c r="B362" s="138">
        <v>0</v>
      </c>
      <c r="C362" s="129">
        <v>0</v>
      </c>
      <c r="D362" s="129">
        <v>0</v>
      </c>
      <c r="E362" s="130">
        <v>45180</v>
      </c>
    </row>
    <row r="363" spans="1:5" ht="24" customHeight="1" x14ac:dyDescent="0.3">
      <c r="A363" s="135" t="s">
        <v>19</v>
      </c>
      <c r="B363" s="135">
        <v>398</v>
      </c>
      <c r="C363" s="129">
        <v>0</v>
      </c>
      <c r="D363" s="129">
        <v>0</v>
      </c>
      <c r="E363" s="130">
        <v>45181</v>
      </c>
    </row>
    <row r="364" spans="1:5" ht="24" customHeight="1" x14ac:dyDescent="0.3">
      <c r="A364" s="135" t="s">
        <v>103</v>
      </c>
      <c r="B364" s="135">
        <v>12</v>
      </c>
      <c r="C364" s="129">
        <v>0</v>
      </c>
      <c r="D364" s="129">
        <v>0</v>
      </c>
      <c r="E364" s="130">
        <v>45181</v>
      </c>
    </row>
    <row r="365" spans="1:5" ht="24" customHeight="1" x14ac:dyDescent="0.3">
      <c r="A365" s="138" t="s">
        <v>25</v>
      </c>
      <c r="B365" s="138">
        <v>9</v>
      </c>
      <c r="C365" s="129">
        <v>0</v>
      </c>
      <c r="D365" s="129">
        <v>0</v>
      </c>
      <c r="E365" s="130">
        <v>45181</v>
      </c>
    </row>
    <row r="366" spans="1:5" ht="24" customHeight="1" x14ac:dyDescent="0.3">
      <c r="A366" s="135" t="s">
        <v>103</v>
      </c>
      <c r="B366" s="135">
        <v>53.1</v>
      </c>
      <c r="C366" s="129">
        <v>0</v>
      </c>
      <c r="D366" s="129">
        <v>0</v>
      </c>
      <c r="E366" s="130">
        <v>45182</v>
      </c>
    </row>
    <row r="367" spans="1:5" ht="24" customHeight="1" x14ac:dyDescent="0.3">
      <c r="A367" s="138" t="s">
        <v>112</v>
      </c>
      <c r="B367" s="138">
        <v>0</v>
      </c>
      <c r="C367" s="129">
        <v>0</v>
      </c>
      <c r="D367" s="129">
        <v>0</v>
      </c>
      <c r="E367" s="130">
        <v>45182</v>
      </c>
    </row>
    <row r="368" spans="1:5" ht="24" customHeight="1" x14ac:dyDescent="0.3">
      <c r="A368" s="138" t="s">
        <v>25</v>
      </c>
      <c r="B368" s="138">
        <v>21.6</v>
      </c>
      <c r="C368" s="129">
        <v>0</v>
      </c>
      <c r="D368" s="129">
        <v>0</v>
      </c>
      <c r="E368" s="130">
        <v>45183</v>
      </c>
    </row>
    <row r="369" spans="1:5" ht="24" customHeight="1" x14ac:dyDescent="0.3">
      <c r="A369" s="135" t="s">
        <v>103</v>
      </c>
      <c r="B369" s="135">
        <v>10</v>
      </c>
      <c r="C369" s="129">
        <v>0</v>
      </c>
      <c r="D369" s="129">
        <v>0</v>
      </c>
      <c r="E369" s="130">
        <v>45184</v>
      </c>
    </row>
    <row r="370" spans="1:5" ht="24" customHeight="1" x14ac:dyDescent="0.3">
      <c r="A370" s="138" t="s">
        <v>22</v>
      </c>
      <c r="B370" s="138">
        <v>57.1</v>
      </c>
      <c r="C370" s="129">
        <v>0</v>
      </c>
      <c r="D370" s="129">
        <v>0</v>
      </c>
      <c r="E370" s="130">
        <v>45184</v>
      </c>
    </row>
    <row r="371" spans="1:5" ht="24" customHeight="1" x14ac:dyDescent="0.3">
      <c r="A371" s="138" t="s">
        <v>25</v>
      </c>
      <c r="B371" s="138">
        <v>2.15</v>
      </c>
      <c r="C371" s="129">
        <v>0</v>
      </c>
      <c r="D371" s="129">
        <v>0</v>
      </c>
      <c r="E371" s="130">
        <v>45185</v>
      </c>
    </row>
    <row r="372" spans="1:5" ht="24" customHeight="1" x14ac:dyDescent="0.3">
      <c r="A372" s="138" t="s">
        <v>22</v>
      </c>
      <c r="B372" s="138">
        <v>31.2</v>
      </c>
      <c r="C372" s="129">
        <v>0</v>
      </c>
      <c r="D372" s="129">
        <v>0</v>
      </c>
      <c r="E372" s="130">
        <v>45185</v>
      </c>
    </row>
    <row r="373" spans="1:5" ht="24" customHeight="1" x14ac:dyDescent="0.3">
      <c r="A373" s="138" t="s">
        <v>25</v>
      </c>
      <c r="B373" s="138">
        <v>4.5</v>
      </c>
      <c r="C373" s="129">
        <v>0</v>
      </c>
      <c r="D373" s="129">
        <v>0</v>
      </c>
      <c r="E373" s="130">
        <v>45186</v>
      </c>
    </row>
    <row r="374" spans="1:5" ht="24" customHeight="1" x14ac:dyDescent="0.3">
      <c r="A374" s="138" t="s">
        <v>25</v>
      </c>
      <c r="B374" s="138">
        <v>15.35</v>
      </c>
      <c r="C374" s="129">
        <v>0</v>
      </c>
      <c r="D374" s="129">
        <v>0</v>
      </c>
      <c r="E374" s="130">
        <v>45186</v>
      </c>
    </row>
    <row r="375" spans="1:5" ht="24" customHeight="1" x14ac:dyDescent="0.3">
      <c r="A375" s="138" t="s">
        <v>25</v>
      </c>
      <c r="B375" s="138">
        <v>3</v>
      </c>
      <c r="C375" s="129">
        <v>0</v>
      </c>
      <c r="D375" s="129">
        <v>0</v>
      </c>
      <c r="E375" s="130">
        <v>45187</v>
      </c>
    </row>
    <row r="376" spans="1:5" ht="24" customHeight="1" x14ac:dyDescent="0.3">
      <c r="A376" s="138" t="s">
        <v>112</v>
      </c>
      <c r="B376" s="138">
        <v>0</v>
      </c>
      <c r="C376" s="129">
        <v>0</v>
      </c>
      <c r="D376" s="129">
        <v>0</v>
      </c>
      <c r="E376" s="130">
        <v>45188</v>
      </c>
    </row>
    <row r="377" spans="1:5" ht="24" customHeight="1" x14ac:dyDescent="0.3">
      <c r="A377" s="138" t="s">
        <v>25</v>
      </c>
      <c r="B377" s="138">
        <v>2.15</v>
      </c>
      <c r="C377" s="129">
        <v>0</v>
      </c>
      <c r="D377" s="129">
        <v>0</v>
      </c>
      <c r="E377" s="130">
        <v>45189</v>
      </c>
    </row>
    <row r="378" spans="1:5" ht="24" customHeight="1" x14ac:dyDescent="0.3">
      <c r="A378" s="138" t="s">
        <v>25</v>
      </c>
      <c r="B378" s="138">
        <v>5.5</v>
      </c>
      <c r="C378" s="129">
        <v>0</v>
      </c>
      <c r="D378" s="129">
        <v>0</v>
      </c>
      <c r="E378" s="130">
        <v>45189</v>
      </c>
    </row>
    <row r="379" spans="1:5" ht="24" customHeight="1" x14ac:dyDescent="0.3">
      <c r="A379" s="138" t="s">
        <v>25</v>
      </c>
      <c r="B379" s="138">
        <v>33.799999999999997</v>
      </c>
      <c r="C379" s="129">
        <v>0</v>
      </c>
      <c r="D379" s="129">
        <v>0</v>
      </c>
      <c r="E379" s="130">
        <v>45190</v>
      </c>
    </row>
    <row r="380" spans="1:5" ht="24" customHeight="1" x14ac:dyDescent="0.3">
      <c r="A380" s="138" t="s">
        <v>22</v>
      </c>
      <c r="B380" s="138">
        <v>4.3499999999999996</v>
      </c>
      <c r="C380" s="129">
        <v>0</v>
      </c>
      <c r="D380" s="129">
        <v>0</v>
      </c>
      <c r="E380" s="130">
        <v>45191</v>
      </c>
    </row>
    <row r="381" spans="1:5" ht="24" customHeight="1" x14ac:dyDescent="0.3">
      <c r="A381" s="138" t="s">
        <v>112</v>
      </c>
      <c r="B381" s="138">
        <v>0</v>
      </c>
      <c r="C381" s="129">
        <v>0</v>
      </c>
      <c r="D381" s="129">
        <v>0</v>
      </c>
      <c r="E381" s="130">
        <v>45192</v>
      </c>
    </row>
    <row r="382" spans="1:5" ht="24" customHeight="1" x14ac:dyDescent="0.3">
      <c r="A382" s="138" t="s">
        <v>25</v>
      </c>
      <c r="B382" s="138">
        <v>4.8</v>
      </c>
      <c r="C382" s="129">
        <v>0</v>
      </c>
      <c r="D382" s="129">
        <v>0</v>
      </c>
      <c r="E382" s="130">
        <v>45193</v>
      </c>
    </row>
    <row r="383" spans="1:5" ht="24" customHeight="1" x14ac:dyDescent="0.3">
      <c r="A383" s="138" t="s">
        <v>22</v>
      </c>
      <c r="B383" s="138">
        <v>61</v>
      </c>
      <c r="C383" s="129">
        <v>0</v>
      </c>
      <c r="D383" s="129">
        <v>0</v>
      </c>
      <c r="E383" s="130">
        <v>45194</v>
      </c>
    </row>
    <row r="384" spans="1:5" ht="24" customHeight="1" x14ac:dyDescent="0.3">
      <c r="A384" s="135" t="s">
        <v>19</v>
      </c>
      <c r="B384" s="135">
        <v>398</v>
      </c>
      <c r="C384" s="129">
        <v>0</v>
      </c>
      <c r="D384" s="129">
        <v>0</v>
      </c>
      <c r="E384" s="130">
        <v>45195</v>
      </c>
    </row>
    <row r="385" spans="1:5" ht="24" customHeight="1" x14ac:dyDescent="0.3">
      <c r="A385" s="138" t="s">
        <v>25</v>
      </c>
      <c r="B385" s="138">
        <v>8.5</v>
      </c>
      <c r="C385" s="129">
        <v>0</v>
      </c>
      <c r="D385" s="129">
        <v>0</v>
      </c>
      <c r="E385" s="130">
        <v>45195</v>
      </c>
    </row>
    <row r="386" spans="1:5" ht="24" customHeight="1" x14ac:dyDescent="0.3">
      <c r="A386" s="138" t="s">
        <v>25</v>
      </c>
      <c r="B386" s="138">
        <v>5.07</v>
      </c>
      <c r="C386" s="129">
        <v>0</v>
      </c>
      <c r="D386" s="129">
        <v>0</v>
      </c>
      <c r="E386" s="130">
        <v>45196</v>
      </c>
    </row>
    <row r="387" spans="1:5" ht="24" customHeight="1" x14ac:dyDescent="0.3">
      <c r="A387" s="138" t="s">
        <v>112</v>
      </c>
      <c r="B387" s="138">
        <v>0</v>
      </c>
      <c r="C387" s="129">
        <v>0</v>
      </c>
      <c r="D387" s="129">
        <v>0</v>
      </c>
      <c r="E387" s="130">
        <v>45197</v>
      </c>
    </row>
    <row r="388" spans="1:5" ht="24" customHeight="1" x14ac:dyDescent="0.3">
      <c r="A388" s="138" t="s">
        <v>25</v>
      </c>
      <c r="B388" s="138">
        <v>5.07</v>
      </c>
      <c r="C388" s="129">
        <v>0</v>
      </c>
      <c r="D388" s="129">
        <v>0</v>
      </c>
      <c r="E388" s="130">
        <v>45198</v>
      </c>
    </row>
    <row r="389" spans="1:5" ht="24" customHeight="1" x14ac:dyDescent="0.3">
      <c r="A389" s="138" t="s">
        <v>112</v>
      </c>
      <c r="B389" s="138">
        <v>0</v>
      </c>
      <c r="C389" s="129">
        <v>0</v>
      </c>
      <c r="D389" s="129">
        <v>0</v>
      </c>
      <c r="E389" s="130">
        <v>45199</v>
      </c>
    </row>
    <row r="390" spans="1:5" ht="24" customHeight="1" x14ac:dyDescent="0.3">
      <c r="A390" s="138" t="s">
        <v>25</v>
      </c>
      <c r="B390" s="138">
        <v>1.5</v>
      </c>
      <c r="C390" s="129">
        <v>0</v>
      </c>
      <c r="D390" s="129">
        <v>0</v>
      </c>
      <c r="E390" s="130">
        <v>45200</v>
      </c>
    </row>
    <row r="391" spans="1:5" ht="24" customHeight="1" x14ac:dyDescent="0.3">
      <c r="A391" s="138" t="s">
        <v>25</v>
      </c>
      <c r="B391" s="138">
        <v>5.07</v>
      </c>
      <c r="C391" s="129">
        <v>0</v>
      </c>
      <c r="D391" s="129">
        <v>0</v>
      </c>
      <c r="E391" s="130">
        <v>45200</v>
      </c>
    </row>
    <row r="392" spans="1:5" ht="24" customHeight="1" x14ac:dyDescent="0.3">
      <c r="A392" s="138" t="s">
        <v>25</v>
      </c>
      <c r="B392" s="138">
        <v>14</v>
      </c>
      <c r="C392" s="129">
        <v>0</v>
      </c>
      <c r="D392" s="129">
        <v>0</v>
      </c>
      <c r="E392" s="130">
        <v>45201</v>
      </c>
    </row>
    <row r="393" spans="1:5" ht="24" customHeight="1" x14ac:dyDescent="0.3">
      <c r="A393" s="138" t="s">
        <v>25</v>
      </c>
      <c r="B393" s="138">
        <v>4</v>
      </c>
      <c r="C393" s="129">
        <v>0</v>
      </c>
      <c r="D393" s="129">
        <v>0</v>
      </c>
      <c r="E393" s="130">
        <v>45202</v>
      </c>
    </row>
    <row r="394" spans="1:5" ht="24" customHeight="1" x14ac:dyDescent="0.3">
      <c r="A394" s="138" t="s">
        <v>22</v>
      </c>
      <c r="B394" s="138">
        <v>49.2</v>
      </c>
      <c r="C394" s="129">
        <v>0</v>
      </c>
      <c r="D394" s="129">
        <v>0</v>
      </c>
      <c r="E394" s="130">
        <v>45202</v>
      </c>
    </row>
    <row r="395" spans="1:5" ht="24" customHeight="1" x14ac:dyDescent="0.3">
      <c r="A395" s="138" t="s">
        <v>112</v>
      </c>
      <c r="B395" s="138">
        <v>0</v>
      </c>
      <c r="C395" s="129">
        <v>0</v>
      </c>
      <c r="D395" s="129">
        <v>0</v>
      </c>
      <c r="E395" s="130">
        <v>45203</v>
      </c>
    </row>
    <row r="396" spans="1:5" ht="24" customHeight="1" x14ac:dyDescent="0.3">
      <c r="A396" s="138" t="s">
        <v>25</v>
      </c>
      <c r="B396" s="138">
        <v>23.5</v>
      </c>
      <c r="C396" s="129">
        <v>0</v>
      </c>
      <c r="D396" s="129">
        <v>0</v>
      </c>
      <c r="E396" s="130">
        <v>45204</v>
      </c>
    </row>
    <row r="397" spans="1:5" ht="24" customHeight="1" x14ac:dyDescent="0.3">
      <c r="A397" s="138" t="s">
        <v>112</v>
      </c>
      <c r="B397" s="138">
        <v>0</v>
      </c>
      <c r="C397" s="129">
        <v>0</v>
      </c>
      <c r="D397" s="129">
        <v>0</v>
      </c>
      <c r="E397" s="130">
        <v>45205</v>
      </c>
    </row>
    <row r="398" spans="1:5" ht="24" customHeight="1" x14ac:dyDescent="0.3">
      <c r="A398" s="138" t="s">
        <v>25</v>
      </c>
      <c r="B398" s="138">
        <v>45.5</v>
      </c>
      <c r="C398" s="129">
        <v>0</v>
      </c>
      <c r="D398" s="129">
        <v>0</v>
      </c>
      <c r="E398" s="130">
        <v>45206</v>
      </c>
    </row>
    <row r="399" spans="1:5" ht="24" customHeight="1" x14ac:dyDescent="0.3">
      <c r="A399" s="138" t="s">
        <v>25</v>
      </c>
      <c r="B399" s="138">
        <v>4</v>
      </c>
      <c r="C399" s="129">
        <v>0</v>
      </c>
      <c r="D399" s="129">
        <v>0</v>
      </c>
      <c r="E399" s="130">
        <v>45207</v>
      </c>
    </row>
    <row r="400" spans="1:5" ht="24" customHeight="1" x14ac:dyDescent="0.3">
      <c r="A400" s="138" t="s">
        <v>25</v>
      </c>
      <c r="B400" s="138">
        <v>7.2</v>
      </c>
      <c r="C400" s="129">
        <v>0</v>
      </c>
      <c r="D400" s="129">
        <v>0</v>
      </c>
      <c r="E400" s="130">
        <v>45208</v>
      </c>
    </row>
    <row r="401" spans="1:5" ht="24" customHeight="1" x14ac:dyDescent="0.3">
      <c r="A401" s="135" t="s">
        <v>19</v>
      </c>
      <c r="B401" s="135">
        <v>398</v>
      </c>
      <c r="C401" s="129">
        <v>0</v>
      </c>
      <c r="D401" s="129">
        <v>0</v>
      </c>
      <c r="E401" s="130">
        <v>45209</v>
      </c>
    </row>
    <row r="402" spans="1:5" ht="24" customHeight="1" x14ac:dyDescent="0.3">
      <c r="A402" s="138" t="s">
        <v>22</v>
      </c>
      <c r="B402" s="138">
        <v>40</v>
      </c>
      <c r="C402" s="129">
        <v>0</v>
      </c>
      <c r="D402" s="129">
        <v>0</v>
      </c>
      <c r="E402" s="130">
        <v>45209</v>
      </c>
    </row>
    <row r="403" spans="1:5" ht="24" customHeight="1" x14ac:dyDescent="0.3">
      <c r="A403" s="138" t="s">
        <v>25</v>
      </c>
      <c r="B403" s="138">
        <v>5</v>
      </c>
      <c r="C403" s="129">
        <v>0</v>
      </c>
      <c r="D403" s="129">
        <v>0</v>
      </c>
      <c r="E403" s="130">
        <v>45210</v>
      </c>
    </row>
    <row r="404" spans="1:5" ht="24" customHeight="1" x14ac:dyDescent="0.3">
      <c r="A404" s="138" t="s">
        <v>112</v>
      </c>
      <c r="B404" s="138">
        <v>0</v>
      </c>
      <c r="C404" s="129">
        <v>0</v>
      </c>
      <c r="D404" s="129">
        <v>0</v>
      </c>
      <c r="E404" s="130">
        <v>45211</v>
      </c>
    </row>
    <row r="405" spans="1:5" ht="24" customHeight="1" x14ac:dyDescent="0.3">
      <c r="A405" s="135" t="s">
        <v>45</v>
      </c>
      <c r="B405" s="135">
        <v>10.75</v>
      </c>
      <c r="C405" s="129">
        <v>0</v>
      </c>
      <c r="D405" s="129">
        <v>0</v>
      </c>
      <c r="E405" s="130">
        <v>45212</v>
      </c>
    </row>
    <row r="406" spans="1:5" ht="24" customHeight="1" x14ac:dyDescent="0.3">
      <c r="A406" s="138" t="s">
        <v>25</v>
      </c>
      <c r="B406" s="138">
        <v>70</v>
      </c>
      <c r="C406" s="129">
        <v>0</v>
      </c>
      <c r="D406" s="129">
        <v>0</v>
      </c>
      <c r="E406" s="130">
        <v>45212</v>
      </c>
    </row>
    <row r="407" spans="1:5" ht="24" customHeight="1" x14ac:dyDescent="0.3">
      <c r="A407" s="135" t="s">
        <v>103</v>
      </c>
      <c r="B407" s="135">
        <v>53.1</v>
      </c>
      <c r="C407" s="129">
        <v>0</v>
      </c>
      <c r="D407" s="129">
        <v>0</v>
      </c>
      <c r="E407" s="130">
        <v>45213</v>
      </c>
    </row>
    <row r="408" spans="1:5" ht="24" customHeight="1" x14ac:dyDescent="0.3">
      <c r="A408" s="138" t="s">
        <v>25</v>
      </c>
      <c r="B408" s="138">
        <v>16</v>
      </c>
      <c r="C408" s="129">
        <v>0</v>
      </c>
      <c r="D408" s="129">
        <v>0</v>
      </c>
      <c r="E408" s="130">
        <v>45213</v>
      </c>
    </row>
    <row r="409" spans="1:5" ht="24" customHeight="1" x14ac:dyDescent="0.3">
      <c r="A409" s="138" t="s">
        <v>25</v>
      </c>
      <c r="B409" s="138">
        <v>27.5</v>
      </c>
      <c r="C409" s="129">
        <v>0</v>
      </c>
      <c r="D409" s="129">
        <v>0</v>
      </c>
      <c r="E409" s="130">
        <v>45214</v>
      </c>
    </row>
    <row r="410" spans="1:5" ht="24" customHeight="1" x14ac:dyDescent="0.3">
      <c r="A410" s="135" t="s">
        <v>103</v>
      </c>
      <c r="B410" s="135">
        <v>50</v>
      </c>
      <c r="C410" s="129">
        <v>0</v>
      </c>
      <c r="D410" s="129">
        <v>0</v>
      </c>
      <c r="E410" s="130">
        <v>45215</v>
      </c>
    </row>
    <row r="411" spans="1:5" ht="24" customHeight="1" x14ac:dyDescent="0.3">
      <c r="A411" s="138" t="s">
        <v>25</v>
      </c>
      <c r="B411" s="138">
        <v>24.8</v>
      </c>
      <c r="C411" s="129">
        <v>0</v>
      </c>
      <c r="D411" s="129">
        <v>0</v>
      </c>
      <c r="E411" s="130">
        <v>45215</v>
      </c>
    </row>
    <row r="412" spans="1:5" ht="24" customHeight="1" x14ac:dyDescent="0.3">
      <c r="A412" s="138" t="s">
        <v>112</v>
      </c>
      <c r="B412" s="138">
        <v>0</v>
      </c>
      <c r="C412" s="129">
        <v>0</v>
      </c>
      <c r="D412" s="129">
        <v>0</v>
      </c>
      <c r="E412" s="130">
        <v>45216</v>
      </c>
    </row>
    <row r="413" spans="1:5" ht="24" customHeight="1" x14ac:dyDescent="0.3">
      <c r="A413" s="138" t="s">
        <v>25</v>
      </c>
      <c r="B413" s="138">
        <v>6</v>
      </c>
      <c r="C413" s="129">
        <v>0</v>
      </c>
      <c r="D413" s="129">
        <v>0</v>
      </c>
      <c r="E413" s="130">
        <v>45217</v>
      </c>
    </row>
    <row r="414" spans="1:5" ht="24" customHeight="1" x14ac:dyDescent="0.3">
      <c r="A414" s="138" t="s">
        <v>25</v>
      </c>
      <c r="B414" s="138">
        <v>3.2</v>
      </c>
      <c r="C414" s="129">
        <v>0</v>
      </c>
      <c r="D414" s="129">
        <v>0</v>
      </c>
      <c r="E414" s="130">
        <v>45218</v>
      </c>
    </row>
    <row r="415" spans="1:5" ht="24" customHeight="1" x14ac:dyDescent="0.3">
      <c r="A415" s="135" t="s">
        <v>45</v>
      </c>
      <c r="B415" s="135">
        <v>55.6</v>
      </c>
      <c r="C415" s="129">
        <v>0</v>
      </c>
      <c r="D415" s="129">
        <v>0</v>
      </c>
      <c r="E415" s="130">
        <v>45219</v>
      </c>
    </row>
    <row r="416" spans="1:5" ht="24" customHeight="1" x14ac:dyDescent="0.3">
      <c r="A416" s="138" t="s">
        <v>25</v>
      </c>
      <c r="B416" s="138">
        <v>1.5</v>
      </c>
      <c r="C416" s="129">
        <v>0</v>
      </c>
      <c r="D416" s="129">
        <v>0</v>
      </c>
      <c r="E416" s="130">
        <v>45219</v>
      </c>
    </row>
    <row r="417" spans="1:5" ht="24" customHeight="1" x14ac:dyDescent="0.3">
      <c r="A417" s="138" t="s">
        <v>22</v>
      </c>
      <c r="B417" s="138">
        <v>85.9</v>
      </c>
      <c r="C417" s="129">
        <v>0</v>
      </c>
      <c r="D417" s="129">
        <v>0</v>
      </c>
      <c r="E417" s="130">
        <v>45220</v>
      </c>
    </row>
    <row r="418" spans="1:5" ht="24" customHeight="1" x14ac:dyDescent="0.3">
      <c r="A418" s="138" t="s">
        <v>25</v>
      </c>
      <c r="B418" s="138">
        <v>8</v>
      </c>
      <c r="C418" s="129">
        <v>0</v>
      </c>
      <c r="D418" s="129">
        <v>0</v>
      </c>
      <c r="E418" s="130">
        <v>45221</v>
      </c>
    </row>
    <row r="419" spans="1:5" ht="24" customHeight="1" x14ac:dyDescent="0.3">
      <c r="A419" s="138" t="s">
        <v>112</v>
      </c>
      <c r="B419" s="138">
        <v>0</v>
      </c>
      <c r="C419" s="129">
        <v>0</v>
      </c>
      <c r="D419" s="129">
        <v>0</v>
      </c>
      <c r="E419" s="130">
        <v>45222</v>
      </c>
    </row>
    <row r="420" spans="1:5" ht="24" customHeight="1" x14ac:dyDescent="0.3">
      <c r="A420" s="135" t="s">
        <v>19</v>
      </c>
      <c r="B420" s="135">
        <v>398</v>
      </c>
      <c r="C420" s="129">
        <v>0</v>
      </c>
      <c r="D420" s="129">
        <v>0</v>
      </c>
      <c r="E420" s="130">
        <v>45223</v>
      </c>
    </row>
    <row r="421" spans="1:5" ht="24" customHeight="1" x14ac:dyDescent="0.3">
      <c r="A421" s="138" t="s">
        <v>25</v>
      </c>
      <c r="B421" s="138">
        <v>4.45</v>
      </c>
      <c r="C421" s="129">
        <v>0</v>
      </c>
      <c r="D421" s="129">
        <v>0</v>
      </c>
      <c r="E421" s="130">
        <v>45223</v>
      </c>
    </row>
    <row r="422" spans="1:5" ht="24" customHeight="1" x14ac:dyDescent="0.3">
      <c r="A422" s="138" t="s">
        <v>112</v>
      </c>
      <c r="B422" s="138">
        <v>0</v>
      </c>
      <c r="C422" s="129">
        <v>0</v>
      </c>
      <c r="D422" s="129">
        <v>0</v>
      </c>
      <c r="E422" s="130">
        <v>45224</v>
      </c>
    </row>
    <row r="423" spans="1:5" ht="24" customHeight="1" x14ac:dyDescent="0.3">
      <c r="A423" s="138" t="s">
        <v>25</v>
      </c>
      <c r="B423" s="138">
        <v>2.65</v>
      </c>
      <c r="C423" s="129">
        <v>0</v>
      </c>
      <c r="D423" s="129">
        <v>0</v>
      </c>
      <c r="E423" s="130">
        <v>45225</v>
      </c>
    </row>
    <row r="424" spans="1:5" ht="24" customHeight="1" x14ac:dyDescent="0.3">
      <c r="A424" s="138" t="s">
        <v>112</v>
      </c>
      <c r="B424" s="138">
        <v>0</v>
      </c>
      <c r="C424" s="129">
        <v>0</v>
      </c>
      <c r="D424" s="129">
        <v>0</v>
      </c>
      <c r="E424" s="130">
        <v>45226</v>
      </c>
    </row>
    <row r="425" spans="1:5" ht="24" customHeight="1" x14ac:dyDescent="0.3">
      <c r="A425" s="138" t="s">
        <v>112</v>
      </c>
      <c r="B425" s="138">
        <v>0</v>
      </c>
      <c r="C425" s="129">
        <v>0</v>
      </c>
      <c r="D425" s="129">
        <v>0</v>
      </c>
      <c r="E425" s="130">
        <v>45227</v>
      </c>
    </row>
    <row r="426" spans="1:5" ht="24" customHeight="1" x14ac:dyDescent="0.3">
      <c r="A426" s="138" t="s">
        <v>25</v>
      </c>
      <c r="B426" s="138">
        <v>6</v>
      </c>
      <c r="C426" s="129">
        <v>0</v>
      </c>
      <c r="D426" s="129">
        <v>0</v>
      </c>
      <c r="E426" s="130">
        <v>45228</v>
      </c>
    </row>
    <row r="427" spans="1:5" ht="24" customHeight="1" x14ac:dyDescent="0.3">
      <c r="A427" s="135" t="s">
        <v>45</v>
      </c>
      <c r="B427" s="135">
        <v>29</v>
      </c>
      <c r="C427" s="129">
        <v>0</v>
      </c>
      <c r="D427" s="129">
        <v>0</v>
      </c>
      <c r="E427" s="130">
        <v>45229</v>
      </c>
    </row>
    <row r="428" spans="1:5" ht="24" customHeight="1" x14ac:dyDescent="0.3">
      <c r="A428" s="138" t="s">
        <v>25</v>
      </c>
      <c r="B428" s="138">
        <v>46</v>
      </c>
      <c r="C428" s="129">
        <v>0</v>
      </c>
      <c r="D428" s="129">
        <v>0</v>
      </c>
      <c r="E428" s="130">
        <v>45229</v>
      </c>
    </row>
    <row r="429" spans="1:5" ht="24" customHeight="1" x14ac:dyDescent="0.3">
      <c r="A429" s="135" t="s">
        <v>45</v>
      </c>
      <c r="B429" s="135">
        <v>11</v>
      </c>
      <c r="C429" s="129">
        <v>0</v>
      </c>
      <c r="D429" s="129">
        <v>0</v>
      </c>
      <c r="E429" s="130">
        <v>45230</v>
      </c>
    </row>
    <row r="430" spans="1:5" ht="24" customHeight="1" x14ac:dyDescent="0.3">
      <c r="A430" s="138" t="s">
        <v>25</v>
      </c>
      <c r="B430" s="138">
        <v>28</v>
      </c>
      <c r="C430" s="129">
        <v>0</v>
      </c>
      <c r="D430" s="129">
        <v>0</v>
      </c>
      <c r="E430" s="130">
        <v>45230</v>
      </c>
    </row>
    <row r="431" spans="1:5" ht="24" customHeight="1" x14ac:dyDescent="0.3">
      <c r="A431" s="138" t="s">
        <v>22</v>
      </c>
      <c r="B431" s="138">
        <v>62</v>
      </c>
      <c r="C431" s="129">
        <v>0</v>
      </c>
      <c r="D431" s="129">
        <v>0</v>
      </c>
      <c r="E431" s="130">
        <v>45231</v>
      </c>
    </row>
    <row r="432" spans="1:5" ht="24" customHeight="1" x14ac:dyDescent="0.3">
      <c r="A432" s="138" t="s">
        <v>25</v>
      </c>
      <c r="B432" s="138">
        <v>4.5</v>
      </c>
      <c r="C432" s="129">
        <v>0</v>
      </c>
      <c r="D432" s="129">
        <v>0</v>
      </c>
      <c r="E432" s="130">
        <v>45231</v>
      </c>
    </row>
    <row r="433" spans="1:5" ht="24" customHeight="1" x14ac:dyDescent="0.3">
      <c r="A433" s="135" t="s">
        <v>45</v>
      </c>
      <c r="B433" s="135">
        <v>26</v>
      </c>
      <c r="C433" s="129">
        <v>0</v>
      </c>
      <c r="D433" s="129">
        <v>0</v>
      </c>
      <c r="E433" s="130">
        <v>45232</v>
      </c>
    </row>
    <row r="434" spans="1:5" ht="24" customHeight="1" x14ac:dyDescent="0.3">
      <c r="A434" s="138" t="s">
        <v>112</v>
      </c>
      <c r="B434" s="138">
        <v>0</v>
      </c>
      <c r="C434" s="129">
        <v>0</v>
      </c>
      <c r="D434" s="129">
        <v>0</v>
      </c>
      <c r="E434" s="130">
        <v>45232</v>
      </c>
    </row>
    <row r="435" spans="1:5" ht="24" customHeight="1" x14ac:dyDescent="0.3">
      <c r="A435" s="135" t="s">
        <v>45</v>
      </c>
      <c r="B435" s="135">
        <v>100</v>
      </c>
      <c r="C435" s="129">
        <v>0</v>
      </c>
      <c r="D435" s="129">
        <v>0</v>
      </c>
      <c r="E435" s="130">
        <v>45233</v>
      </c>
    </row>
    <row r="436" spans="1:5" ht="24" customHeight="1" x14ac:dyDescent="0.3">
      <c r="A436" s="138" t="s">
        <v>25</v>
      </c>
      <c r="B436" s="138">
        <v>15</v>
      </c>
      <c r="C436" s="129">
        <v>0</v>
      </c>
      <c r="D436" s="129">
        <v>0</v>
      </c>
      <c r="E436" s="130">
        <v>45233</v>
      </c>
    </row>
    <row r="437" spans="1:5" ht="24" customHeight="1" x14ac:dyDescent="0.3">
      <c r="A437" s="138" t="s">
        <v>112</v>
      </c>
      <c r="B437" s="138">
        <v>0</v>
      </c>
      <c r="C437" s="129">
        <v>0</v>
      </c>
      <c r="D437" s="129">
        <v>0</v>
      </c>
      <c r="E437" s="130">
        <v>45234</v>
      </c>
    </row>
    <row r="438" spans="1:5" ht="24" customHeight="1" x14ac:dyDescent="0.3">
      <c r="A438" s="135" t="s">
        <v>45</v>
      </c>
      <c r="B438" s="135">
        <v>6</v>
      </c>
      <c r="C438" s="129">
        <v>0</v>
      </c>
      <c r="D438" s="129">
        <v>0</v>
      </c>
      <c r="E438" s="130">
        <v>45235</v>
      </c>
    </row>
    <row r="439" spans="1:5" ht="24" customHeight="1" x14ac:dyDescent="0.3">
      <c r="A439" s="138" t="s">
        <v>25</v>
      </c>
      <c r="B439" s="138">
        <v>2.2000000000000002</v>
      </c>
      <c r="C439" s="129">
        <v>0</v>
      </c>
      <c r="D439" s="129">
        <v>0</v>
      </c>
      <c r="E439" s="130">
        <v>45235</v>
      </c>
    </row>
    <row r="440" spans="1:5" ht="24" customHeight="1" x14ac:dyDescent="0.3">
      <c r="A440" s="135" t="s">
        <v>45</v>
      </c>
      <c r="B440" s="135">
        <v>38</v>
      </c>
      <c r="C440" s="129">
        <v>0</v>
      </c>
      <c r="D440" s="129">
        <v>0</v>
      </c>
      <c r="E440" s="130">
        <v>45236</v>
      </c>
    </row>
    <row r="441" spans="1:5" ht="24" customHeight="1" x14ac:dyDescent="0.3">
      <c r="A441" s="138" t="s">
        <v>25</v>
      </c>
      <c r="B441" s="138">
        <v>30.8</v>
      </c>
      <c r="C441" s="129">
        <v>0</v>
      </c>
      <c r="D441" s="129">
        <v>0</v>
      </c>
      <c r="E441" s="130">
        <v>45236</v>
      </c>
    </row>
    <row r="442" spans="1:5" ht="24" customHeight="1" x14ac:dyDescent="0.3">
      <c r="A442" s="135" t="s">
        <v>19</v>
      </c>
      <c r="B442" s="135">
        <v>398</v>
      </c>
      <c r="C442" s="129">
        <v>0</v>
      </c>
      <c r="D442" s="129">
        <v>0</v>
      </c>
      <c r="E442" s="130">
        <v>45237</v>
      </c>
    </row>
    <row r="443" spans="1:5" ht="24" customHeight="1" x14ac:dyDescent="0.3">
      <c r="A443" s="138" t="s">
        <v>25</v>
      </c>
      <c r="B443" s="138">
        <v>15</v>
      </c>
      <c r="C443" s="129">
        <v>0</v>
      </c>
      <c r="D443" s="129">
        <v>0</v>
      </c>
      <c r="E443" s="130">
        <v>45237</v>
      </c>
    </row>
    <row r="444" spans="1:5" ht="24" customHeight="1" x14ac:dyDescent="0.3">
      <c r="A444" s="138" t="s">
        <v>25</v>
      </c>
      <c r="B444" s="138">
        <v>25.5</v>
      </c>
      <c r="C444" s="129">
        <v>0</v>
      </c>
      <c r="D444" s="129">
        <v>0</v>
      </c>
      <c r="E444" s="130">
        <v>45238</v>
      </c>
    </row>
    <row r="445" spans="1:5" ht="24" customHeight="1" x14ac:dyDescent="0.3">
      <c r="A445" s="135" t="s">
        <v>45</v>
      </c>
      <c r="B445" s="135">
        <v>9</v>
      </c>
      <c r="C445" s="129">
        <v>0</v>
      </c>
      <c r="D445" s="129">
        <v>0</v>
      </c>
      <c r="E445" s="130">
        <v>45239</v>
      </c>
    </row>
    <row r="446" spans="1:5" ht="24" customHeight="1" x14ac:dyDescent="0.3">
      <c r="A446" s="138" t="s">
        <v>112</v>
      </c>
      <c r="B446" s="138">
        <v>0</v>
      </c>
      <c r="C446" s="129">
        <v>0</v>
      </c>
      <c r="D446" s="129">
        <v>0</v>
      </c>
      <c r="E446" s="130">
        <v>45239</v>
      </c>
    </row>
    <row r="447" spans="1:5" ht="24" customHeight="1" x14ac:dyDescent="0.3">
      <c r="A447" s="135" t="s">
        <v>45</v>
      </c>
      <c r="B447" s="135">
        <v>0</v>
      </c>
      <c r="C447" s="129">
        <v>0</v>
      </c>
      <c r="D447" s="129">
        <v>160000</v>
      </c>
      <c r="E447" s="130">
        <v>45240</v>
      </c>
    </row>
    <row r="448" spans="1:5" ht="24" customHeight="1" x14ac:dyDescent="0.3">
      <c r="A448" s="138" t="s">
        <v>25</v>
      </c>
      <c r="B448" s="138">
        <v>35</v>
      </c>
      <c r="C448" s="129">
        <v>0</v>
      </c>
      <c r="D448" s="129">
        <v>0</v>
      </c>
      <c r="E448" s="130">
        <v>45240</v>
      </c>
    </row>
    <row r="449" spans="1:5" ht="24" customHeight="1" x14ac:dyDescent="0.3">
      <c r="A449" s="138" t="s">
        <v>112</v>
      </c>
      <c r="B449" s="138">
        <v>0</v>
      </c>
      <c r="C449" s="129">
        <v>0</v>
      </c>
      <c r="D449" s="129">
        <v>0</v>
      </c>
      <c r="E449" s="130">
        <v>45241</v>
      </c>
    </row>
    <row r="450" spans="1:5" ht="24" customHeight="1" x14ac:dyDescent="0.3">
      <c r="A450" s="138" t="s">
        <v>112</v>
      </c>
      <c r="B450" s="138">
        <v>0</v>
      </c>
      <c r="C450" s="129">
        <v>0</v>
      </c>
      <c r="D450" s="129">
        <v>0</v>
      </c>
      <c r="E450" s="130">
        <v>45242</v>
      </c>
    </row>
    <row r="451" spans="1:5" ht="24" customHeight="1" x14ac:dyDescent="0.3">
      <c r="A451" s="138" t="s">
        <v>112</v>
      </c>
      <c r="B451" s="138">
        <v>0</v>
      </c>
      <c r="C451" s="129">
        <v>0</v>
      </c>
      <c r="D451" s="129">
        <v>0</v>
      </c>
      <c r="E451" s="130">
        <v>45243</v>
      </c>
    </row>
    <row r="452" spans="1:5" ht="24" customHeight="1" x14ac:dyDescent="0.3">
      <c r="A452" s="138" t="s">
        <v>112</v>
      </c>
      <c r="B452" s="138">
        <v>0</v>
      </c>
      <c r="C452" s="129">
        <v>0</v>
      </c>
      <c r="D452" s="129">
        <v>0</v>
      </c>
      <c r="E452" s="130">
        <v>45244</v>
      </c>
    </row>
    <row r="453" spans="1:5" ht="24" customHeight="1" x14ac:dyDescent="0.3">
      <c r="A453" s="138" t="s">
        <v>112</v>
      </c>
      <c r="B453" s="138">
        <v>0</v>
      </c>
      <c r="C453" s="129">
        <v>0</v>
      </c>
      <c r="D453" s="129">
        <v>0</v>
      </c>
      <c r="E453" s="130">
        <v>45245</v>
      </c>
    </row>
    <row r="454" spans="1:5" ht="24" customHeight="1" x14ac:dyDescent="0.3">
      <c r="A454" s="135" t="s">
        <v>45</v>
      </c>
      <c r="B454" s="135">
        <v>1500</v>
      </c>
      <c r="C454" s="129">
        <v>0</v>
      </c>
      <c r="D454" s="129">
        <v>0</v>
      </c>
      <c r="E454" s="130">
        <v>45246</v>
      </c>
    </row>
    <row r="455" spans="1:5" ht="24" customHeight="1" x14ac:dyDescent="0.3">
      <c r="A455" s="138" t="s">
        <v>112</v>
      </c>
      <c r="B455" s="138">
        <v>0</v>
      </c>
      <c r="C455" s="129">
        <v>0</v>
      </c>
      <c r="D455" s="129">
        <v>0</v>
      </c>
      <c r="E455" s="130">
        <v>45246</v>
      </c>
    </row>
    <row r="456" spans="1:5" ht="24" customHeight="1" x14ac:dyDescent="0.3">
      <c r="A456" s="138" t="s">
        <v>112</v>
      </c>
      <c r="B456" s="138">
        <v>0</v>
      </c>
      <c r="C456" s="129">
        <v>0</v>
      </c>
      <c r="D456" s="129">
        <v>0</v>
      </c>
      <c r="E456" s="130">
        <v>45247</v>
      </c>
    </row>
    <row r="457" spans="1:5" ht="24" customHeight="1" x14ac:dyDescent="0.3">
      <c r="A457" s="138" t="s">
        <v>112</v>
      </c>
      <c r="B457" s="138">
        <v>0</v>
      </c>
      <c r="C457" s="129">
        <v>0</v>
      </c>
      <c r="D457" s="129">
        <v>0</v>
      </c>
      <c r="E457" s="130">
        <v>45248</v>
      </c>
    </row>
    <row r="458" spans="1:5" ht="24" customHeight="1" x14ac:dyDescent="0.3">
      <c r="A458" s="138" t="s">
        <v>112</v>
      </c>
      <c r="B458" s="138">
        <v>0</v>
      </c>
      <c r="C458" s="129">
        <v>0</v>
      </c>
      <c r="D458" s="129">
        <v>0</v>
      </c>
      <c r="E458" s="130">
        <v>45249</v>
      </c>
    </row>
    <row r="459" spans="1:5" ht="24" customHeight="1" x14ac:dyDescent="0.3">
      <c r="A459" s="138" t="s">
        <v>112</v>
      </c>
      <c r="B459" s="138">
        <v>0</v>
      </c>
      <c r="C459" s="129">
        <v>0</v>
      </c>
      <c r="D459" s="129">
        <v>0</v>
      </c>
      <c r="E459" s="130">
        <v>45250</v>
      </c>
    </row>
    <row r="460" spans="1:5" ht="24" customHeight="1" x14ac:dyDescent="0.3">
      <c r="A460" s="138" t="s">
        <v>112</v>
      </c>
      <c r="B460" s="138">
        <v>0</v>
      </c>
      <c r="C460" s="129">
        <v>0</v>
      </c>
      <c r="D460" s="129">
        <v>0</v>
      </c>
      <c r="E460" s="130">
        <v>45251</v>
      </c>
    </row>
    <row r="461" spans="1:5" ht="24" customHeight="1" x14ac:dyDescent="0.3">
      <c r="A461" s="138" t="s">
        <v>112</v>
      </c>
      <c r="B461" s="138">
        <v>0</v>
      </c>
      <c r="C461" s="129">
        <v>0</v>
      </c>
      <c r="D461" s="129">
        <v>0</v>
      </c>
      <c r="E461" s="130">
        <v>45252</v>
      </c>
    </row>
    <row r="462" spans="1:5" ht="24" customHeight="1" x14ac:dyDescent="0.3">
      <c r="A462" s="138" t="s">
        <v>112</v>
      </c>
      <c r="B462" s="138">
        <v>0</v>
      </c>
      <c r="C462" s="129">
        <v>0</v>
      </c>
      <c r="D462" s="129">
        <v>0</v>
      </c>
      <c r="E462" s="130">
        <v>45253</v>
      </c>
    </row>
    <row r="463" spans="1:5" ht="24" customHeight="1" x14ac:dyDescent="0.3">
      <c r="A463" s="138" t="s">
        <v>112</v>
      </c>
      <c r="B463" s="138">
        <v>0</v>
      </c>
      <c r="C463" s="129">
        <v>0</v>
      </c>
      <c r="D463" s="129">
        <v>0</v>
      </c>
      <c r="E463" s="130">
        <v>45254</v>
      </c>
    </row>
    <row r="464" spans="1:5" ht="24" customHeight="1" x14ac:dyDescent="0.3">
      <c r="A464" s="135" t="s">
        <v>45</v>
      </c>
      <c r="B464" s="135">
        <v>560</v>
      </c>
      <c r="C464" s="129">
        <v>0</v>
      </c>
      <c r="D464" s="129">
        <v>0</v>
      </c>
      <c r="E464" s="130">
        <v>45255</v>
      </c>
    </row>
    <row r="465" spans="1:5" ht="24" customHeight="1" x14ac:dyDescent="0.3">
      <c r="A465" s="138" t="s">
        <v>112</v>
      </c>
      <c r="B465" s="138">
        <v>0</v>
      </c>
      <c r="C465" s="129">
        <v>0</v>
      </c>
      <c r="D465" s="129">
        <v>0</v>
      </c>
      <c r="E465" s="130">
        <v>45255</v>
      </c>
    </row>
    <row r="466" spans="1:5" ht="24" customHeight="1" x14ac:dyDescent="0.3">
      <c r="A466" s="138" t="s">
        <v>112</v>
      </c>
      <c r="B466" s="138">
        <v>0</v>
      </c>
      <c r="C466" s="129">
        <v>0</v>
      </c>
      <c r="D466" s="129">
        <v>0</v>
      </c>
      <c r="E466" s="130">
        <v>45256</v>
      </c>
    </row>
    <row r="467" spans="1:5" ht="24" customHeight="1" x14ac:dyDescent="0.3">
      <c r="A467" s="138" t="s">
        <v>112</v>
      </c>
      <c r="B467" s="138">
        <v>0</v>
      </c>
      <c r="C467" s="129">
        <v>0</v>
      </c>
      <c r="D467" s="129">
        <v>0</v>
      </c>
      <c r="E467" s="130">
        <v>45257</v>
      </c>
    </row>
    <row r="468" spans="1:5" ht="24" customHeight="1" x14ac:dyDescent="0.3">
      <c r="A468" s="138" t="s">
        <v>112</v>
      </c>
      <c r="B468" s="138">
        <v>0</v>
      </c>
      <c r="C468" s="129">
        <v>0</v>
      </c>
      <c r="D468" s="129">
        <v>0</v>
      </c>
      <c r="E468" s="130">
        <v>45258</v>
      </c>
    </row>
    <row r="469" spans="1:5" ht="24" customHeight="1" x14ac:dyDescent="0.3">
      <c r="A469" s="138" t="s">
        <v>112</v>
      </c>
      <c r="B469" s="138">
        <v>0</v>
      </c>
      <c r="C469" s="129">
        <v>0</v>
      </c>
      <c r="D469" s="129">
        <v>0</v>
      </c>
      <c r="E469" s="130">
        <v>45259</v>
      </c>
    </row>
    <row r="470" spans="1:5" ht="24" customHeight="1" x14ac:dyDescent="0.3">
      <c r="A470" s="138" t="s">
        <v>112</v>
      </c>
      <c r="B470" s="138">
        <v>0</v>
      </c>
      <c r="C470" s="129">
        <v>0</v>
      </c>
      <c r="D470" s="129">
        <v>0</v>
      </c>
      <c r="E470" s="130">
        <v>45260</v>
      </c>
    </row>
    <row r="471" spans="1:5" ht="24" customHeight="1" x14ac:dyDescent="0.3">
      <c r="A471" s="138" t="s">
        <v>112</v>
      </c>
      <c r="B471" s="138">
        <v>0</v>
      </c>
      <c r="C471" s="129">
        <v>0</v>
      </c>
      <c r="D471" s="129">
        <v>0</v>
      </c>
      <c r="E471" s="130">
        <v>45261</v>
      </c>
    </row>
    <row r="472" spans="1:5" ht="24" customHeight="1" x14ac:dyDescent="0.3">
      <c r="A472" s="138" t="s">
        <v>112</v>
      </c>
      <c r="B472" s="138">
        <v>0</v>
      </c>
      <c r="C472" s="129">
        <v>0</v>
      </c>
      <c r="D472" s="129">
        <v>0</v>
      </c>
      <c r="E472" s="130">
        <v>45262</v>
      </c>
    </row>
    <row r="473" spans="1:5" ht="24" customHeight="1" x14ac:dyDescent="0.3">
      <c r="A473" s="138" t="s">
        <v>112</v>
      </c>
      <c r="B473" s="138">
        <v>0</v>
      </c>
      <c r="C473" s="129">
        <v>0</v>
      </c>
      <c r="D473" s="129">
        <v>0</v>
      </c>
      <c r="E473" s="130">
        <v>45263</v>
      </c>
    </row>
    <row r="474" spans="1:5" ht="24" customHeight="1" x14ac:dyDescent="0.3">
      <c r="A474" s="135" t="s">
        <v>19</v>
      </c>
      <c r="B474" s="135">
        <v>398</v>
      </c>
      <c r="C474" s="129">
        <v>0</v>
      </c>
      <c r="D474" s="129">
        <v>0</v>
      </c>
      <c r="E474" s="130">
        <v>45264</v>
      </c>
    </row>
    <row r="475" spans="1:5" ht="24" customHeight="1" x14ac:dyDescent="0.3">
      <c r="A475" s="138" t="s">
        <v>25</v>
      </c>
      <c r="B475" s="138">
        <v>23</v>
      </c>
      <c r="C475" s="129">
        <v>0</v>
      </c>
      <c r="D475" s="129">
        <v>0</v>
      </c>
      <c r="E475" s="130">
        <v>45264</v>
      </c>
    </row>
    <row r="476" spans="1:5" ht="24" customHeight="1" x14ac:dyDescent="0.3">
      <c r="A476" s="138" t="s">
        <v>25</v>
      </c>
      <c r="B476" s="138">
        <v>28</v>
      </c>
      <c r="C476" s="129">
        <v>0</v>
      </c>
      <c r="D476" s="129">
        <v>0</v>
      </c>
      <c r="E476" s="130">
        <v>45265</v>
      </c>
    </row>
    <row r="477" spans="1:5" ht="24" customHeight="1" x14ac:dyDescent="0.3">
      <c r="A477" s="138" t="s">
        <v>25</v>
      </c>
      <c r="B477" s="138">
        <v>4.45</v>
      </c>
      <c r="C477" s="129">
        <v>0</v>
      </c>
      <c r="D477" s="129">
        <v>0</v>
      </c>
      <c r="E477" s="130">
        <v>45266</v>
      </c>
    </row>
    <row r="478" spans="1:5" ht="24" customHeight="1" x14ac:dyDescent="0.3">
      <c r="A478" s="138" t="s">
        <v>25</v>
      </c>
      <c r="B478" s="138">
        <v>5.63</v>
      </c>
      <c r="C478" s="129">
        <v>0</v>
      </c>
      <c r="D478" s="129">
        <v>0</v>
      </c>
      <c r="E478" s="130">
        <v>45267</v>
      </c>
    </row>
    <row r="479" spans="1:5" ht="24" customHeight="1" x14ac:dyDescent="0.3">
      <c r="A479" s="138" t="s">
        <v>25</v>
      </c>
      <c r="B479" s="138">
        <v>0</v>
      </c>
      <c r="C479" s="129">
        <v>0</v>
      </c>
      <c r="D479" s="129">
        <v>0</v>
      </c>
      <c r="E479" s="130">
        <v>45268</v>
      </c>
    </row>
    <row r="480" spans="1:5" ht="24" customHeight="1" x14ac:dyDescent="0.3">
      <c r="A480" s="138" t="s">
        <v>25</v>
      </c>
      <c r="B480" s="138">
        <v>12</v>
      </c>
      <c r="C480" s="129">
        <v>0</v>
      </c>
      <c r="D480" s="129">
        <v>0</v>
      </c>
      <c r="E480" s="130">
        <v>45269</v>
      </c>
    </row>
    <row r="481" spans="1:5" ht="24" customHeight="1" x14ac:dyDescent="0.3">
      <c r="A481" s="138" t="s">
        <v>25</v>
      </c>
      <c r="B481" s="138">
        <v>8</v>
      </c>
      <c r="C481" s="129">
        <v>0</v>
      </c>
      <c r="D481" s="129">
        <v>0</v>
      </c>
      <c r="E481" s="130">
        <v>45270</v>
      </c>
    </row>
    <row r="482" spans="1:5" ht="24" customHeight="1" x14ac:dyDescent="0.3">
      <c r="A482" s="138" t="s">
        <v>25</v>
      </c>
      <c r="B482" s="138">
        <v>20</v>
      </c>
      <c r="C482" s="129">
        <v>0</v>
      </c>
      <c r="D482" s="129">
        <v>0</v>
      </c>
      <c r="E482" s="130">
        <v>45271</v>
      </c>
    </row>
    <row r="483" spans="1:5" ht="24" customHeight="1" x14ac:dyDescent="0.3">
      <c r="A483" s="138" t="s">
        <v>25</v>
      </c>
      <c r="B483" s="138">
        <v>6.5</v>
      </c>
      <c r="C483" s="129">
        <v>0</v>
      </c>
      <c r="D483" s="129">
        <v>0</v>
      </c>
      <c r="E483" s="130">
        <v>45272</v>
      </c>
    </row>
    <row r="484" spans="1:5" ht="24" customHeight="1" x14ac:dyDescent="0.3">
      <c r="A484" s="135" t="s">
        <v>45</v>
      </c>
      <c r="B484" s="135">
        <v>300</v>
      </c>
      <c r="C484" s="129">
        <v>0</v>
      </c>
      <c r="D484" s="129">
        <v>0</v>
      </c>
      <c r="E484" s="130">
        <v>45273</v>
      </c>
    </row>
    <row r="485" spans="1:5" ht="24" customHeight="1" x14ac:dyDescent="0.3">
      <c r="A485" s="138" t="s">
        <v>22</v>
      </c>
      <c r="B485" s="138">
        <v>68.709999999999994</v>
      </c>
      <c r="C485" s="129">
        <v>0</v>
      </c>
      <c r="D485" s="129">
        <v>0</v>
      </c>
      <c r="E485" s="130">
        <v>45273</v>
      </c>
    </row>
    <row r="486" spans="1:5" ht="24" customHeight="1" x14ac:dyDescent="0.3">
      <c r="A486" s="138" t="s">
        <v>25</v>
      </c>
      <c r="B486" s="138">
        <v>23</v>
      </c>
      <c r="C486" s="129">
        <v>0</v>
      </c>
      <c r="D486" s="129">
        <v>0</v>
      </c>
      <c r="E486" s="130">
        <v>45274</v>
      </c>
    </row>
    <row r="487" spans="1:5" ht="24" customHeight="1" x14ac:dyDescent="0.3">
      <c r="A487" s="138" t="s">
        <v>112</v>
      </c>
      <c r="B487" s="138">
        <v>0</v>
      </c>
      <c r="C487" s="129">
        <v>0</v>
      </c>
      <c r="D487" s="129">
        <v>0</v>
      </c>
      <c r="E487" s="130">
        <v>45275</v>
      </c>
    </row>
    <row r="488" spans="1:5" ht="24" customHeight="1" x14ac:dyDescent="0.3">
      <c r="A488" s="138" t="s">
        <v>112</v>
      </c>
      <c r="B488" s="138">
        <v>0</v>
      </c>
      <c r="C488" s="129">
        <v>0</v>
      </c>
      <c r="D488" s="129">
        <v>0</v>
      </c>
      <c r="E488" s="130">
        <v>45276</v>
      </c>
    </row>
    <row r="489" spans="1:5" ht="24" customHeight="1" x14ac:dyDescent="0.3">
      <c r="A489" s="138" t="s">
        <v>112</v>
      </c>
      <c r="B489" s="138">
        <v>0</v>
      </c>
      <c r="C489" s="129">
        <v>0</v>
      </c>
      <c r="D489" s="129">
        <v>0</v>
      </c>
      <c r="E489" s="130">
        <v>45277</v>
      </c>
    </row>
    <row r="490" spans="1:5" ht="24" customHeight="1" x14ac:dyDescent="0.3">
      <c r="A490" s="138" t="s">
        <v>112</v>
      </c>
      <c r="B490" s="138">
        <v>0</v>
      </c>
      <c r="C490" s="129">
        <v>0</v>
      </c>
      <c r="D490" s="129">
        <v>0</v>
      </c>
      <c r="E490" s="130">
        <v>45278</v>
      </c>
    </row>
    <row r="491" spans="1:5" ht="24" customHeight="1" x14ac:dyDescent="0.3">
      <c r="A491" s="138" t="s">
        <v>112</v>
      </c>
      <c r="B491" s="138">
        <v>0</v>
      </c>
      <c r="C491" s="129">
        <v>0</v>
      </c>
      <c r="D491" s="129">
        <v>0</v>
      </c>
      <c r="E491" s="130">
        <v>45279</v>
      </c>
    </row>
    <row r="492" spans="1:5" ht="24" customHeight="1" x14ac:dyDescent="0.3">
      <c r="A492" s="138" t="s">
        <v>112</v>
      </c>
      <c r="B492" s="138">
        <v>0</v>
      </c>
      <c r="C492" s="129">
        <v>0</v>
      </c>
      <c r="D492" s="129">
        <v>0</v>
      </c>
      <c r="E492" s="130">
        <v>45280</v>
      </c>
    </row>
    <row r="493" spans="1:5" ht="24" customHeight="1" x14ac:dyDescent="0.3">
      <c r="A493" s="138" t="s">
        <v>112</v>
      </c>
      <c r="B493" s="138">
        <v>0</v>
      </c>
      <c r="C493" s="129">
        <v>0</v>
      </c>
      <c r="D493" s="129">
        <v>0</v>
      </c>
      <c r="E493" s="130">
        <v>45281</v>
      </c>
    </row>
    <row r="494" spans="1:5" ht="24" customHeight="1" x14ac:dyDescent="0.3">
      <c r="A494" s="138" t="s">
        <v>112</v>
      </c>
      <c r="B494" s="138">
        <v>0</v>
      </c>
      <c r="C494" s="129">
        <v>0</v>
      </c>
      <c r="D494" s="129">
        <v>0</v>
      </c>
      <c r="E494" s="130">
        <v>45282</v>
      </c>
    </row>
    <row r="495" spans="1:5" ht="24" customHeight="1" x14ac:dyDescent="0.3">
      <c r="A495" s="138" t="s">
        <v>112</v>
      </c>
      <c r="B495" s="138">
        <v>0</v>
      </c>
      <c r="C495" s="129">
        <v>0</v>
      </c>
      <c r="D495" s="129">
        <v>0</v>
      </c>
      <c r="E495" s="130">
        <v>45283</v>
      </c>
    </row>
    <row r="496" spans="1:5" ht="24" customHeight="1" x14ac:dyDescent="0.3">
      <c r="A496" s="138" t="s">
        <v>112</v>
      </c>
      <c r="B496" s="138">
        <v>0</v>
      </c>
      <c r="C496" s="129">
        <v>0</v>
      </c>
      <c r="D496" s="129">
        <v>0</v>
      </c>
      <c r="E496" s="130">
        <v>45284</v>
      </c>
    </row>
    <row r="497" spans="1:5" ht="24" customHeight="1" x14ac:dyDescent="0.3">
      <c r="A497" s="138" t="s">
        <v>112</v>
      </c>
      <c r="B497" s="138">
        <v>0</v>
      </c>
      <c r="C497" s="129">
        <v>0</v>
      </c>
      <c r="D497" s="129">
        <v>0</v>
      </c>
      <c r="E497" s="130">
        <v>45285</v>
      </c>
    </row>
    <row r="498" spans="1:5" ht="24" customHeight="1" x14ac:dyDescent="0.3">
      <c r="A498" s="138" t="s">
        <v>112</v>
      </c>
      <c r="B498" s="138">
        <v>0</v>
      </c>
      <c r="C498" s="129">
        <v>0</v>
      </c>
      <c r="D498" s="129">
        <v>0</v>
      </c>
      <c r="E498" s="130">
        <v>45286</v>
      </c>
    </row>
    <row r="499" spans="1:5" ht="24" customHeight="1" x14ac:dyDescent="0.3">
      <c r="A499" s="138" t="s">
        <v>112</v>
      </c>
      <c r="B499" s="138">
        <v>0</v>
      </c>
      <c r="C499" s="129">
        <v>0</v>
      </c>
      <c r="D499" s="129">
        <v>0</v>
      </c>
      <c r="E499" s="130">
        <v>45287</v>
      </c>
    </row>
    <row r="500" spans="1:5" ht="24" customHeight="1" x14ac:dyDescent="0.3">
      <c r="A500" s="138" t="s">
        <v>112</v>
      </c>
      <c r="B500" s="138">
        <v>0</v>
      </c>
      <c r="C500" s="129">
        <v>0</v>
      </c>
      <c r="D500" s="129">
        <v>0</v>
      </c>
      <c r="E500" s="130">
        <v>45288</v>
      </c>
    </row>
    <row r="501" spans="1:5" ht="24" customHeight="1" x14ac:dyDescent="0.3">
      <c r="A501" s="138" t="s">
        <v>112</v>
      </c>
      <c r="B501" s="138">
        <v>0</v>
      </c>
      <c r="C501" s="129">
        <v>0</v>
      </c>
      <c r="D501" s="129">
        <v>0</v>
      </c>
      <c r="E501" s="130">
        <v>45289</v>
      </c>
    </row>
    <row r="502" spans="1:5" ht="24" customHeight="1" x14ac:dyDescent="0.3">
      <c r="A502" s="138" t="s">
        <v>112</v>
      </c>
      <c r="B502" s="138">
        <v>0</v>
      </c>
      <c r="C502" s="129">
        <v>0</v>
      </c>
      <c r="D502" s="129">
        <v>0</v>
      </c>
      <c r="E502" s="130">
        <v>45290</v>
      </c>
    </row>
    <row r="503" spans="1:5" ht="24" customHeight="1" x14ac:dyDescent="0.3">
      <c r="A503" s="135" t="s">
        <v>45</v>
      </c>
      <c r="B503" s="135">
        <v>200</v>
      </c>
      <c r="C503" s="129">
        <v>0</v>
      </c>
      <c r="D503" s="129">
        <v>0</v>
      </c>
      <c r="E503" s="130">
        <v>45291</v>
      </c>
    </row>
    <row r="504" spans="1:5" ht="24" customHeight="1" x14ac:dyDescent="0.3">
      <c r="A504" s="135" t="s">
        <v>19</v>
      </c>
      <c r="B504" s="135">
        <v>398</v>
      </c>
      <c r="C504" s="129">
        <v>0</v>
      </c>
      <c r="D504" s="129">
        <v>0</v>
      </c>
      <c r="E504" s="130">
        <v>45291</v>
      </c>
    </row>
    <row r="505" spans="1:5" ht="24" customHeight="1" x14ac:dyDescent="0.3">
      <c r="A505" s="138" t="s">
        <v>25</v>
      </c>
      <c r="B505" s="138">
        <v>375</v>
      </c>
      <c r="C505" s="129">
        <v>0</v>
      </c>
      <c r="D505" s="129">
        <v>0</v>
      </c>
      <c r="E505" s="130">
        <v>45291</v>
      </c>
    </row>
    <row r="506" spans="1:5" ht="24" customHeight="1" x14ac:dyDescent="0.3">
      <c r="A506" s="138" t="s">
        <v>112</v>
      </c>
      <c r="B506" s="138">
        <v>0</v>
      </c>
      <c r="C506" s="129">
        <v>0</v>
      </c>
      <c r="D506" s="129">
        <v>0</v>
      </c>
      <c r="E506" s="130">
        <v>45292</v>
      </c>
    </row>
    <row r="507" spans="1:5" ht="24" customHeight="1" x14ac:dyDescent="0.3">
      <c r="A507" s="138" t="s">
        <v>112</v>
      </c>
      <c r="B507" s="138">
        <v>0</v>
      </c>
      <c r="C507" s="129">
        <v>0</v>
      </c>
      <c r="D507" s="129">
        <v>0</v>
      </c>
      <c r="E507" s="130">
        <v>45293</v>
      </c>
    </row>
    <row r="508" spans="1:5" ht="24" customHeight="1" x14ac:dyDescent="0.3">
      <c r="A508" s="138" t="s">
        <v>112</v>
      </c>
      <c r="B508" s="138">
        <v>0</v>
      </c>
      <c r="C508" s="129">
        <v>0</v>
      </c>
      <c r="D508" s="129">
        <v>0</v>
      </c>
      <c r="E508" s="130">
        <v>45294</v>
      </c>
    </row>
    <row r="509" spans="1:5" ht="24" customHeight="1" x14ac:dyDescent="0.3">
      <c r="A509" s="138" t="s">
        <v>112</v>
      </c>
      <c r="B509" s="138">
        <v>0</v>
      </c>
      <c r="C509" s="129">
        <v>0</v>
      </c>
      <c r="D509" s="129">
        <v>0</v>
      </c>
      <c r="E509" s="130">
        <v>45295</v>
      </c>
    </row>
    <row r="510" spans="1:5" ht="24" customHeight="1" x14ac:dyDescent="0.3">
      <c r="A510" s="138" t="s">
        <v>112</v>
      </c>
      <c r="B510" s="138">
        <v>0</v>
      </c>
      <c r="C510" s="129">
        <v>0</v>
      </c>
      <c r="D510" s="129">
        <v>0</v>
      </c>
      <c r="E510" s="130">
        <v>45296</v>
      </c>
    </row>
    <row r="511" spans="1:5" ht="24" customHeight="1" x14ac:dyDescent="0.3">
      <c r="A511" s="138" t="s">
        <v>112</v>
      </c>
      <c r="B511" s="138">
        <v>0</v>
      </c>
      <c r="C511" s="129">
        <v>0</v>
      </c>
      <c r="D511" s="129">
        <v>0</v>
      </c>
      <c r="E511" s="130">
        <v>45297</v>
      </c>
    </row>
    <row r="512" spans="1:5" ht="24" customHeight="1" x14ac:dyDescent="0.3">
      <c r="A512" s="138" t="s">
        <v>112</v>
      </c>
      <c r="B512" s="138">
        <v>0</v>
      </c>
      <c r="C512" s="129">
        <v>0</v>
      </c>
      <c r="D512" s="129">
        <v>0</v>
      </c>
      <c r="E512" s="130">
        <v>45298</v>
      </c>
    </row>
    <row r="513" spans="1:5" ht="24" customHeight="1" x14ac:dyDescent="0.3">
      <c r="A513" s="138" t="s">
        <v>112</v>
      </c>
      <c r="B513" s="138">
        <v>0</v>
      </c>
      <c r="C513" s="129">
        <v>0</v>
      </c>
      <c r="D513" s="129">
        <v>0</v>
      </c>
      <c r="E513" s="130">
        <v>45299</v>
      </c>
    </row>
    <row r="514" spans="1:5" ht="24" customHeight="1" x14ac:dyDescent="0.3">
      <c r="A514" s="138" t="s">
        <v>112</v>
      </c>
      <c r="B514" s="138">
        <v>0</v>
      </c>
      <c r="C514" s="129">
        <v>0</v>
      </c>
      <c r="D514" s="129">
        <v>0</v>
      </c>
      <c r="E514" s="130">
        <v>45300</v>
      </c>
    </row>
    <row r="515" spans="1:5" ht="24" customHeight="1" x14ac:dyDescent="0.3">
      <c r="A515" s="138" t="s">
        <v>112</v>
      </c>
      <c r="B515" s="138">
        <v>0</v>
      </c>
      <c r="C515" s="129">
        <v>0</v>
      </c>
      <c r="D515" s="129">
        <v>0</v>
      </c>
      <c r="E515" s="130">
        <v>45301</v>
      </c>
    </row>
    <row r="516" spans="1:5" ht="24" customHeight="1" x14ac:dyDescent="0.3">
      <c r="A516" s="138" t="s">
        <v>112</v>
      </c>
      <c r="B516" s="138">
        <v>0</v>
      </c>
      <c r="C516" s="129">
        <v>0</v>
      </c>
      <c r="D516" s="129">
        <v>0</v>
      </c>
      <c r="E516" s="130">
        <v>45302</v>
      </c>
    </row>
    <row r="517" spans="1:5" ht="24" customHeight="1" x14ac:dyDescent="0.3">
      <c r="A517" s="138" t="s">
        <v>25</v>
      </c>
      <c r="B517" s="138">
        <v>35</v>
      </c>
      <c r="C517" s="129">
        <v>0</v>
      </c>
      <c r="D517" s="129">
        <v>0</v>
      </c>
      <c r="E517" s="130">
        <v>45303</v>
      </c>
    </row>
    <row r="518" spans="1:5" ht="24" customHeight="1" x14ac:dyDescent="0.3">
      <c r="A518" s="138" t="s">
        <v>112</v>
      </c>
      <c r="B518" s="138">
        <v>0</v>
      </c>
      <c r="C518" s="129">
        <v>0</v>
      </c>
      <c r="D518" s="129">
        <v>0</v>
      </c>
      <c r="E518" s="130">
        <v>45304</v>
      </c>
    </row>
    <row r="519" spans="1:5" ht="24" customHeight="1" x14ac:dyDescent="0.3">
      <c r="A519" s="138" t="s">
        <v>112</v>
      </c>
      <c r="B519" s="138">
        <v>0</v>
      </c>
      <c r="C519" s="129">
        <v>0</v>
      </c>
      <c r="D519" s="129">
        <v>0</v>
      </c>
      <c r="E519" s="130">
        <v>45305</v>
      </c>
    </row>
    <row r="520" spans="1:5" ht="24" customHeight="1" x14ac:dyDescent="0.3">
      <c r="A520" s="138" t="s">
        <v>25</v>
      </c>
      <c r="B520" s="138">
        <v>25</v>
      </c>
      <c r="C520" s="129">
        <v>0</v>
      </c>
      <c r="D520" s="129">
        <v>0</v>
      </c>
      <c r="E520" s="130">
        <v>45306</v>
      </c>
    </row>
    <row r="521" spans="1:5" ht="24" customHeight="1" x14ac:dyDescent="0.3">
      <c r="A521" s="138" t="s">
        <v>112</v>
      </c>
      <c r="B521" s="138">
        <v>0</v>
      </c>
      <c r="C521" s="129">
        <v>0</v>
      </c>
      <c r="D521" s="129">
        <v>0</v>
      </c>
      <c r="E521" s="130">
        <v>45307</v>
      </c>
    </row>
    <row r="522" spans="1:5" ht="24" customHeight="1" x14ac:dyDescent="0.3">
      <c r="A522" s="138" t="s">
        <v>112</v>
      </c>
      <c r="B522" s="138">
        <v>0</v>
      </c>
      <c r="C522" s="129">
        <v>0</v>
      </c>
      <c r="D522" s="129">
        <v>0</v>
      </c>
      <c r="E522" s="130">
        <v>45308</v>
      </c>
    </row>
    <row r="523" spans="1:5" ht="24" customHeight="1" x14ac:dyDescent="0.3">
      <c r="A523" s="138" t="s">
        <v>25</v>
      </c>
      <c r="B523" s="138">
        <v>16</v>
      </c>
      <c r="C523" s="129">
        <v>0</v>
      </c>
      <c r="D523" s="129">
        <v>0</v>
      </c>
      <c r="E523" s="130">
        <v>45309</v>
      </c>
    </row>
    <row r="524" spans="1:5" ht="24" customHeight="1" x14ac:dyDescent="0.3">
      <c r="A524" s="138" t="s">
        <v>112</v>
      </c>
      <c r="B524" s="138">
        <v>0</v>
      </c>
      <c r="C524" s="129">
        <v>0</v>
      </c>
      <c r="D524" s="129">
        <v>0</v>
      </c>
      <c r="E524" s="130">
        <v>45310</v>
      </c>
    </row>
    <row r="525" spans="1:5" ht="24" customHeight="1" x14ac:dyDescent="0.3">
      <c r="A525" s="138" t="s">
        <v>25</v>
      </c>
      <c r="B525" s="138">
        <v>14</v>
      </c>
      <c r="C525" s="129">
        <v>0</v>
      </c>
      <c r="D525" s="129">
        <v>0</v>
      </c>
      <c r="E525" s="130">
        <v>45311</v>
      </c>
    </row>
    <row r="526" spans="1:5" ht="24" customHeight="1" x14ac:dyDescent="0.3">
      <c r="A526" s="138" t="s">
        <v>112</v>
      </c>
      <c r="B526" s="138">
        <v>0</v>
      </c>
      <c r="C526" s="129">
        <v>0</v>
      </c>
      <c r="D526" s="129">
        <v>0</v>
      </c>
      <c r="E526" s="130">
        <v>45312</v>
      </c>
    </row>
    <row r="527" spans="1:5" ht="24" customHeight="1" x14ac:dyDescent="0.3">
      <c r="A527" s="138" t="s">
        <v>112</v>
      </c>
      <c r="B527" s="138">
        <v>0</v>
      </c>
      <c r="C527" s="129">
        <v>0</v>
      </c>
      <c r="D527" s="129">
        <v>0</v>
      </c>
      <c r="E527" s="130">
        <v>45313</v>
      </c>
    </row>
    <row r="528" spans="1:5" ht="24" customHeight="1" x14ac:dyDescent="0.3">
      <c r="A528" s="138" t="s">
        <v>25</v>
      </c>
      <c r="B528" s="138">
        <v>12</v>
      </c>
      <c r="C528" s="129">
        <v>0</v>
      </c>
      <c r="D528" s="129">
        <v>0</v>
      </c>
      <c r="E528" s="130">
        <v>45314</v>
      </c>
    </row>
    <row r="529" spans="1:5" ht="24" customHeight="1" x14ac:dyDescent="0.3">
      <c r="A529" s="138" t="s">
        <v>112</v>
      </c>
      <c r="B529" s="138">
        <v>0</v>
      </c>
      <c r="C529" s="129">
        <v>0</v>
      </c>
      <c r="D529" s="129">
        <v>0</v>
      </c>
      <c r="E529" s="130">
        <v>45315</v>
      </c>
    </row>
    <row r="530" spans="1:5" ht="24" customHeight="1" x14ac:dyDescent="0.3">
      <c r="A530" s="138" t="s">
        <v>112</v>
      </c>
      <c r="B530" s="138">
        <v>0</v>
      </c>
      <c r="C530" s="129">
        <v>0</v>
      </c>
      <c r="D530" s="129">
        <v>0</v>
      </c>
      <c r="E530" s="130">
        <v>45316</v>
      </c>
    </row>
    <row r="531" spans="1:5" ht="24" customHeight="1" x14ac:dyDescent="0.3">
      <c r="A531" s="138" t="s">
        <v>112</v>
      </c>
      <c r="B531" s="138">
        <v>0</v>
      </c>
      <c r="C531" s="129">
        <v>0</v>
      </c>
      <c r="D531" s="129">
        <v>0</v>
      </c>
      <c r="E531" s="130">
        <v>45317</v>
      </c>
    </row>
    <row r="532" spans="1:5" ht="24" customHeight="1" x14ac:dyDescent="0.3">
      <c r="A532" s="138" t="s">
        <v>112</v>
      </c>
      <c r="B532" s="138">
        <v>0</v>
      </c>
      <c r="C532" s="129">
        <v>0</v>
      </c>
      <c r="D532" s="129">
        <v>0</v>
      </c>
      <c r="E532" s="130">
        <v>45318</v>
      </c>
    </row>
    <row r="533" spans="1:5" ht="24" customHeight="1" x14ac:dyDescent="0.3">
      <c r="A533" s="138" t="s">
        <v>112</v>
      </c>
      <c r="B533" s="138">
        <v>0</v>
      </c>
      <c r="C533" s="129">
        <v>0</v>
      </c>
      <c r="D533" s="129">
        <v>0</v>
      </c>
      <c r="E533" s="130">
        <v>45319</v>
      </c>
    </row>
    <row r="534" spans="1:5" ht="24" customHeight="1" x14ac:dyDescent="0.3">
      <c r="A534" s="138" t="s">
        <v>112</v>
      </c>
      <c r="B534" s="138">
        <v>0</v>
      </c>
      <c r="C534" s="129">
        <v>0</v>
      </c>
      <c r="D534" s="129">
        <v>0</v>
      </c>
      <c r="E534" s="130">
        <v>45320</v>
      </c>
    </row>
    <row r="535" spans="1:5" ht="24" customHeight="1" x14ac:dyDescent="0.3">
      <c r="A535" s="138" t="s">
        <v>112</v>
      </c>
      <c r="B535" s="138">
        <v>0</v>
      </c>
      <c r="C535" s="129">
        <v>0</v>
      </c>
      <c r="D535" s="129">
        <v>0</v>
      </c>
      <c r="E535" s="130">
        <v>45321</v>
      </c>
    </row>
    <row r="536" spans="1:5" ht="24" customHeight="1" x14ac:dyDescent="0.3">
      <c r="A536" s="138" t="s">
        <v>25</v>
      </c>
      <c r="B536" s="138">
        <v>648</v>
      </c>
      <c r="C536" s="129">
        <v>0</v>
      </c>
      <c r="D536" s="129">
        <v>0</v>
      </c>
      <c r="E536" s="130">
        <v>45322</v>
      </c>
    </row>
    <row r="537" spans="1:5" ht="24" customHeight="1" x14ac:dyDescent="0.3">
      <c r="A537" s="138" t="s">
        <v>25</v>
      </c>
      <c r="B537" s="138">
        <v>31</v>
      </c>
      <c r="C537" s="129">
        <v>0</v>
      </c>
      <c r="D537" s="129">
        <v>0</v>
      </c>
      <c r="E537" s="130">
        <v>45323</v>
      </c>
    </row>
    <row r="538" spans="1:5" ht="24" customHeight="1" x14ac:dyDescent="0.3">
      <c r="A538" s="138" t="s">
        <v>25</v>
      </c>
      <c r="B538" s="138">
        <v>48.5</v>
      </c>
      <c r="C538" s="129">
        <v>0</v>
      </c>
      <c r="D538" s="129">
        <v>0</v>
      </c>
      <c r="E538" s="130">
        <v>45324</v>
      </c>
    </row>
    <row r="539" spans="1:5" ht="24" customHeight="1" x14ac:dyDescent="0.3">
      <c r="A539" s="138" t="s">
        <v>112</v>
      </c>
      <c r="B539" s="138">
        <v>0</v>
      </c>
      <c r="C539" s="129">
        <v>0</v>
      </c>
      <c r="D539" s="129">
        <v>0</v>
      </c>
      <c r="E539" s="130">
        <v>45325</v>
      </c>
    </row>
    <row r="540" spans="1:5" ht="24" customHeight="1" x14ac:dyDescent="0.3">
      <c r="A540" s="138" t="s">
        <v>25</v>
      </c>
      <c r="B540" s="138">
        <v>40</v>
      </c>
      <c r="C540" s="129">
        <v>0</v>
      </c>
      <c r="D540" s="129">
        <v>0</v>
      </c>
      <c r="E540" s="130">
        <v>45326</v>
      </c>
    </row>
    <row r="541" spans="1:5" ht="24" customHeight="1" x14ac:dyDescent="0.3">
      <c r="A541" s="138" t="s">
        <v>25</v>
      </c>
      <c r="B541" s="138">
        <v>4.45</v>
      </c>
      <c r="C541" s="129">
        <v>0</v>
      </c>
      <c r="D541" s="129">
        <v>0</v>
      </c>
      <c r="E541" s="130">
        <v>45327</v>
      </c>
    </row>
    <row r="542" spans="1:5" ht="24" customHeight="1" x14ac:dyDescent="0.3">
      <c r="A542" s="138" t="s">
        <v>112</v>
      </c>
      <c r="B542" s="138">
        <v>0</v>
      </c>
      <c r="C542" s="129">
        <v>0</v>
      </c>
      <c r="D542" s="129">
        <v>0</v>
      </c>
      <c r="E542" s="130">
        <v>45328</v>
      </c>
    </row>
    <row r="543" spans="1:5" ht="24" customHeight="1" x14ac:dyDescent="0.3">
      <c r="A543" s="138" t="s">
        <v>25</v>
      </c>
      <c r="B543" s="138">
        <v>9.5</v>
      </c>
      <c r="C543" s="129">
        <v>0</v>
      </c>
      <c r="D543" s="129">
        <v>0</v>
      </c>
      <c r="E543" s="130">
        <v>45329</v>
      </c>
    </row>
    <row r="544" spans="1:5" ht="24" customHeight="1" x14ac:dyDescent="0.3">
      <c r="A544" s="138" t="s">
        <v>25</v>
      </c>
      <c r="B544" s="138">
        <v>100</v>
      </c>
      <c r="C544" s="129">
        <v>0</v>
      </c>
      <c r="D544" s="129">
        <v>0</v>
      </c>
      <c r="E544" s="130">
        <v>45330</v>
      </c>
    </row>
    <row r="545" spans="1:5" ht="24" customHeight="1" x14ac:dyDescent="0.3">
      <c r="A545" s="138" t="s">
        <v>25</v>
      </c>
      <c r="B545" s="138">
        <v>7</v>
      </c>
      <c r="C545" s="129">
        <v>0</v>
      </c>
      <c r="D545" s="129">
        <v>0</v>
      </c>
      <c r="E545" s="130">
        <v>45331</v>
      </c>
    </row>
    <row r="546" spans="1:5" ht="24" customHeight="1" x14ac:dyDescent="0.3">
      <c r="A546" s="138" t="s">
        <v>25</v>
      </c>
      <c r="B546" s="138">
        <v>9.5</v>
      </c>
      <c r="C546" s="129">
        <v>0</v>
      </c>
      <c r="D546" s="129">
        <v>0</v>
      </c>
      <c r="E546" s="130">
        <v>45332</v>
      </c>
    </row>
    <row r="547" spans="1:5" ht="24" customHeight="1" x14ac:dyDescent="0.3">
      <c r="A547" s="138" t="s">
        <v>25</v>
      </c>
      <c r="B547" s="138">
        <v>3.5</v>
      </c>
      <c r="C547" s="129">
        <v>0</v>
      </c>
      <c r="D547" s="129">
        <v>0</v>
      </c>
      <c r="E547" s="130">
        <v>45333</v>
      </c>
    </row>
    <row r="548" spans="1:5" ht="24" customHeight="1" x14ac:dyDescent="0.3">
      <c r="A548" s="138" t="s">
        <v>25</v>
      </c>
      <c r="B548" s="138">
        <v>6</v>
      </c>
      <c r="C548" s="129">
        <v>0</v>
      </c>
      <c r="D548" s="129">
        <v>0</v>
      </c>
      <c r="E548" s="130">
        <v>45334</v>
      </c>
    </row>
    <row r="549" spans="1:5" ht="24" customHeight="1" x14ac:dyDescent="0.3">
      <c r="A549" s="135" t="s">
        <v>19</v>
      </c>
      <c r="B549" s="135">
        <v>1200</v>
      </c>
      <c r="C549" s="129">
        <v>0</v>
      </c>
      <c r="D549" s="129">
        <v>0</v>
      </c>
      <c r="E549" s="130">
        <v>45335</v>
      </c>
    </row>
    <row r="550" spans="1:5" ht="24" customHeight="1" x14ac:dyDescent="0.3">
      <c r="A550" s="138" t="s">
        <v>25</v>
      </c>
      <c r="B550" s="138">
        <v>5.05</v>
      </c>
      <c r="C550" s="129">
        <v>0</v>
      </c>
      <c r="D550" s="129">
        <v>0</v>
      </c>
      <c r="E550" s="130">
        <v>45335</v>
      </c>
    </row>
    <row r="551" spans="1:5" ht="24" customHeight="1" x14ac:dyDescent="0.3">
      <c r="A551" s="138" t="s">
        <v>25</v>
      </c>
      <c r="B551" s="138">
        <v>45</v>
      </c>
      <c r="C551" s="129">
        <v>0</v>
      </c>
      <c r="D551" s="129">
        <v>0</v>
      </c>
      <c r="E551" s="130">
        <v>45336</v>
      </c>
    </row>
    <row r="552" spans="1:5" ht="24" customHeight="1" x14ac:dyDescent="0.3">
      <c r="A552" s="135" t="s">
        <v>45</v>
      </c>
      <c r="B552" s="135">
        <v>1100</v>
      </c>
      <c r="C552" s="129">
        <v>0</v>
      </c>
      <c r="D552" s="129">
        <v>0</v>
      </c>
      <c r="E552" s="130">
        <v>45337</v>
      </c>
    </row>
    <row r="553" spans="1:5" ht="24" customHeight="1" x14ac:dyDescent="0.3">
      <c r="A553" s="138" t="s">
        <v>25</v>
      </c>
      <c r="B553" s="138">
        <v>30</v>
      </c>
      <c r="C553" s="129">
        <v>0</v>
      </c>
      <c r="D553" s="129">
        <v>0</v>
      </c>
      <c r="E553" s="130">
        <v>45337</v>
      </c>
    </row>
    <row r="554" spans="1:5" ht="24" customHeight="1" x14ac:dyDescent="0.3">
      <c r="A554" s="138" t="s">
        <v>25</v>
      </c>
      <c r="B554" s="138">
        <v>27.5</v>
      </c>
      <c r="C554" s="129">
        <v>0</v>
      </c>
      <c r="D554" s="129">
        <v>0</v>
      </c>
      <c r="E554" s="130">
        <v>45338</v>
      </c>
    </row>
    <row r="555" spans="1:5" ht="24" customHeight="1" x14ac:dyDescent="0.3">
      <c r="A555" s="138" t="s">
        <v>25</v>
      </c>
      <c r="B555" s="138">
        <v>25</v>
      </c>
      <c r="C555" s="129">
        <v>0</v>
      </c>
      <c r="D555" s="129">
        <v>0</v>
      </c>
      <c r="E555" s="130">
        <v>45339</v>
      </c>
    </row>
    <row r="556" spans="1:5" ht="24" customHeight="1" x14ac:dyDescent="0.3">
      <c r="A556" s="138" t="s">
        <v>25</v>
      </c>
      <c r="B556" s="138">
        <v>12.5</v>
      </c>
      <c r="C556" s="129">
        <v>0</v>
      </c>
      <c r="D556" s="129">
        <v>0</v>
      </c>
      <c r="E556" s="130">
        <v>45340</v>
      </c>
    </row>
    <row r="557" spans="1:5" ht="24" customHeight="1" x14ac:dyDescent="0.3">
      <c r="A557" s="138" t="s">
        <v>25</v>
      </c>
      <c r="B557" s="138">
        <v>9.5</v>
      </c>
      <c r="C557" s="129">
        <v>0</v>
      </c>
      <c r="D557" s="129">
        <v>0</v>
      </c>
      <c r="E557" s="130">
        <v>45341</v>
      </c>
    </row>
    <row r="558" spans="1:5" ht="24" customHeight="1" x14ac:dyDescent="0.3">
      <c r="A558" s="138" t="s">
        <v>25</v>
      </c>
      <c r="B558" s="138">
        <v>75</v>
      </c>
      <c r="C558" s="129">
        <v>0</v>
      </c>
      <c r="D558" s="129">
        <v>0</v>
      </c>
      <c r="E558" s="130">
        <v>45342</v>
      </c>
    </row>
    <row r="559" spans="1:5" ht="24" customHeight="1" x14ac:dyDescent="0.3">
      <c r="A559" s="138" t="s">
        <v>25</v>
      </c>
      <c r="B559" s="138">
        <v>6.55</v>
      </c>
      <c r="C559" s="129">
        <v>0</v>
      </c>
      <c r="D559" s="129">
        <v>0</v>
      </c>
      <c r="E559" s="130">
        <v>45343</v>
      </c>
    </row>
    <row r="560" spans="1:5" ht="24" customHeight="1" x14ac:dyDescent="0.3">
      <c r="A560" s="138" t="s">
        <v>25</v>
      </c>
      <c r="B560" s="138">
        <v>30</v>
      </c>
      <c r="C560" s="129">
        <v>0</v>
      </c>
      <c r="D560" s="129">
        <v>0</v>
      </c>
      <c r="E560" s="130">
        <v>45344</v>
      </c>
    </row>
    <row r="561" spans="1:5" ht="24" customHeight="1" x14ac:dyDescent="0.3">
      <c r="A561" s="138" t="s">
        <v>25</v>
      </c>
      <c r="B561" s="138">
        <v>16.7</v>
      </c>
      <c r="C561" s="129">
        <v>0</v>
      </c>
      <c r="D561" s="129">
        <v>0</v>
      </c>
      <c r="E561" s="130">
        <v>45345</v>
      </c>
    </row>
    <row r="562" spans="1:5" ht="24" customHeight="1" x14ac:dyDescent="0.3">
      <c r="A562" s="138" t="s">
        <v>25</v>
      </c>
      <c r="B562" s="138">
        <v>17</v>
      </c>
      <c r="C562" s="129">
        <v>0</v>
      </c>
      <c r="D562" s="129">
        <v>0</v>
      </c>
      <c r="E562" s="130">
        <v>45346</v>
      </c>
    </row>
    <row r="563" spans="1:5" ht="24" customHeight="1" x14ac:dyDescent="0.3">
      <c r="A563" s="138" t="s">
        <v>25</v>
      </c>
      <c r="B563" s="138">
        <v>12</v>
      </c>
      <c r="C563" s="129">
        <v>0</v>
      </c>
      <c r="D563" s="129">
        <v>0</v>
      </c>
      <c r="E563" s="130">
        <v>45347</v>
      </c>
    </row>
    <row r="564" spans="1:5" ht="24" customHeight="1" x14ac:dyDescent="0.3">
      <c r="A564" s="138" t="s">
        <v>25</v>
      </c>
      <c r="B564" s="138">
        <v>17</v>
      </c>
      <c r="C564" s="129">
        <v>0</v>
      </c>
      <c r="D564" s="129">
        <v>0</v>
      </c>
      <c r="E564" s="130">
        <v>45348</v>
      </c>
    </row>
    <row r="565" spans="1:5" ht="24" customHeight="1" x14ac:dyDescent="0.3">
      <c r="A565" s="138" t="s">
        <v>25</v>
      </c>
      <c r="B565" s="138">
        <v>9.5</v>
      </c>
      <c r="C565" s="129">
        <v>0</v>
      </c>
      <c r="D565" s="129">
        <v>0</v>
      </c>
      <c r="E565" s="130">
        <v>45349</v>
      </c>
    </row>
    <row r="566" spans="1:5" ht="24" customHeight="1" x14ac:dyDescent="0.3">
      <c r="A566" s="138" t="s">
        <v>25</v>
      </c>
      <c r="B566" s="138">
        <v>50</v>
      </c>
      <c r="C566" s="129">
        <v>0</v>
      </c>
      <c r="D566" s="129">
        <v>0</v>
      </c>
      <c r="E566" s="130">
        <v>45350</v>
      </c>
    </row>
    <row r="567" spans="1:5" ht="24" customHeight="1" x14ac:dyDescent="0.3">
      <c r="A567" s="138" t="s">
        <v>25</v>
      </c>
      <c r="B567" s="138">
        <v>10</v>
      </c>
      <c r="C567" s="129">
        <v>0</v>
      </c>
      <c r="D567" s="129">
        <v>0</v>
      </c>
      <c r="E567" s="130">
        <v>45351</v>
      </c>
    </row>
    <row r="568" spans="1:5" ht="24" customHeight="1" x14ac:dyDescent="0.3">
      <c r="A568" s="138" t="s">
        <v>25</v>
      </c>
      <c r="B568" s="138">
        <v>11</v>
      </c>
      <c r="C568" s="129">
        <v>0</v>
      </c>
      <c r="D568" s="129">
        <v>0</v>
      </c>
      <c r="E568" s="130">
        <v>45352</v>
      </c>
    </row>
    <row r="569" spans="1:5" ht="24" customHeight="1" x14ac:dyDescent="0.3">
      <c r="A569" s="138" t="s">
        <v>25</v>
      </c>
      <c r="B569" s="138">
        <v>19</v>
      </c>
      <c r="C569" s="129">
        <v>0</v>
      </c>
      <c r="D569" s="129">
        <v>0</v>
      </c>
      <c r="E569" s="130">
        <v>45353</v>
      </c>
    </row>
    <row r="570" spans="1:5" ht="24" customHeight="1" x14ac:dyDescent="0.3">
      <c r="A570" s="138" t="s">
        <v>25</v>
      </c>
      <c r="B570" s="138">
        <v>18</v>
      </c>
      <c r="C570" s="129">
        <v>0</v>
      </c>
      <c r="D570" s="129">
        <v>0</v>
      </c>
      <c r="E570" s="130">
        <v>45354</v>
      </c>
    </row>
    <row r="571" spans="1:5" ht="24" customHeight="1" x14ac:dyDescent="0.3">
      <c r="A571" s="138" t="s">
        <v>25</v>
      </c>
      <c r="B571" s="138">
        <v>9</v>
      </c>
      <c r="C571" s="129">
        <v>0</v>
      </c>
      <c r="D571" s="129">
        <v>0</v>
      </c>
      <c r="E571" s="130">
        <v>45355</v>
      </c>
    </row>
    <row r="572" spans="1:5" ht="24" customHeight="1" x14ac:dyDescent="0.3">
      <c r="A572" s="138" t="s">
        <v>25</v>
      </c>
      <c r="B572" s="138">
        <v>26</v>
      </c>
      <c r="C572" s="129">
        <v>0</v>
      </c>
      <c r="D572" s="129">
        <v>0</v>
      </c>
      <c r="E572" s="130">
        <v>45356</v>
      </c>
    </row>
    <row r="573" spans="1:5" ht="24" customHeight="1" x14ac:dyDescent="0.3">
      <c r="A573" s="138" t="s">
        <v>112</v>
      </c>
      <c r="B573" s="138">
        <v>0</v>
      </c>
      <c r="C573" s="129">
        <v>0</v>
      </c>
      <c r="D573" s="129">
        <v>0</v>
      </c>
      <c r="E573" s="130">
        <v>45357</v>
      </c>
    </row>
    <row r="574" spans="1:5" ht="24" customHeight="1" x14ac:dyDescent="0.3">
      <c r="A574" s="138" t="s">
        <v>25</v>
      </c>
      <c r="B574" s="138">
        <v>9.5</v>
      </c>
      <c r="C574" s="129">
        <v>0</v>
      </c>
      <c r="D574" s="129">
        <v>0</v>
      </c>
      <c r="E574" s="130">
        <v>45358</v>
      </c>
    </row>
    <row r="575" spans="1:5" ht="24" customHeight="1" x14ac:dyDescent="0.3">
      <c r="A575" s="138" t="s">
        <v>25</v>
      </c>
      <c r="B575" s="138">
        <v>14.5</v>
      </c>
      <c r="C575" s="129">
        <v>0</v>
      </c>
      <c r="D575" s="129">
        <v>0</v>
      </c>
      <c r="E575" s="130">
        <v>45359</v>
      </c>
    </row>
    <row r="576" spans="1:5" ht="24" customHeight="1" x14ac:dyDescent="0.3">
      <c r="A576" s="138" t="s">
        <v>25</v>
      </c>
      <c r="B576" s="138">
        <v>5</v>
      </c>
      <c r="C576" s="129">
        <v>0</v>
      </c>
      <c r="D576" s="129">
        <v>0</v>
      </c>
      <c r="E576" s="130">
        <v>45360</v>
      </c>
    </row>
    <row r="577" spans="1:5" ht="24" customHeight="1" x14ac:dyDescent="0.3">
      <c r="A577" s="138" t="s">
        <v>25</v>
      </c>
      <c r="B577" s="138">
        <v>8.5</v>
      </c>
      <c r="C577" s="129">
        <v>0</v>
      </c>
      <c r="D577" s="129">
        <v>0</v>
      </c>
      <c r="E577" s="130">
        <v>45361</v>
      </c>
    </row>
    <row r="578" spans="1:5" ht="24" customHeight="1" x14ac:dyDescent="0.3">
      <c r="A578" s="138" t="s">
        <v>112</v>
      </c>
      <c r="B578" s="138">
        <v>0</v>
      </c>
      <c r="C578" s="129">
        <v>0</v>
      </c>
      <c r="D578" s="129">
        <v>0</v>
      </c>
      <c r="E578" s="130">
        <v>45362</v>
      </c>
    </row>
    <row r="579" spans="1:5" ht="24" customHeight="1" x14ac:dyDescent="0.3">
      <c r="A579" s="138" t="s">
        <v>25</v>
      </c>
      <c r="B579" s="138">
        <v>8</v>
      </c>
      <c r="C579" s="129">
        <v>0</v>
      </c>
      <c r="D579" s="129">
        <v>0</v>
      </c>
      <c r="E579" s="130">
        <v>45363</v>
      </c>
    </row>
    <row r="580" spans="1:5" ht="24" customHeight="1" x14ac:dyDescent="0.3">
      <c r="A580" s="138" t="s">
        <v>25</v>
      </c>
      <c r="B580" s="138">
        <v>45</v>
      </c>
      <c r="C580" s="129">
        <v>0</v>
      </c>
      <c r="D580" s="129">
        <v>0</v>
      </c>
      <c r="E580" s="130">
        <v>45364</v>
      </c>
    </row>
    <row r="581" spans="1:5" ht="24" customHeight="1" x14ac:dyDescent="0.3">
      <c r="A581" s="138" t="s">
        <v>25</v>
      </c>
      <c r="B581" s="138">
        <v>15</v>
      </c>
      <c r="C581" s="129">
        <v>0</v>
      </c>
      <c r="D581" s="129">
        <v>0</v>
      </c>
      <c r="E581" s="130">
        <v>45365</v>
      </c>
    </row>
    <row r="582" spans="1:5" ht="24" customHeight="1" x14ac:dyDescent="0.3">
      <c r="A582" s="138" t="s">
        <v>25</v>
      </c>
      <c r="B582" s="138">
        <v>8.6999999999999993</v>
      </c>
      <c r="C582" s="129">
        <v>0</v>
      </c>
      <c r="D582" s="129">
        <v>0</v>
      </c>
      <c r="E582" s="130">
        <v>45366</v>
      </c>
    </row>
    <row r="583" spans="1:5" ht="24" customHeight="1" x14ac:dyDescent="0.3">
      <c r="A583" s="138" t="s">
        <v>25</v>
      </c>
      <c r="B583" s="138">
        <v>7.75</v>
      </c>
      <c r="C583" s="129">
        <v>0</v>
      </c>
      <c r="D583" s="129">
        <v>0</v>
      </c>
      <c r="E583" s="130">
        <v>45367</v>
      </c>
    </row>
    <row r="584" spans="1:5" ht="24" customHeight="1" x14ac:dyDescent="0.3">
      <c r="A584" s="138" t="s">
        <v>25</v>
      </c>
      <c r="B584" s="138">
        <v>7.7</v>
      </c>
      <c r="C584" s="129">
        <v>0</v>
      </c>
      <c r="D584" s="129">
        <v>0</v>
      </c>
      <c r="E584" s="130">
        <v>45368</v>
      </c>
    </row>
    <row r="585" spans="1:5" ht="24" customHeight="1" x14ac:dyDescent="0.3">
      <c r="A585" s="138" t="s">
        <v>25</v>
      </c>
      <c r="B585" s="138">
        <v>37</v>
      </c>
      <c r="C585" s="129">
        <v>0</v>
      </c>
      <c r="D585" s="129">
        <v>0</v>
      </c>
      <c r="E585" s="130">
        <v>45369</v>
      </c>
    </row>
    <row r="586" spans="1:5" ht="24" customHeight="1" x14ac:dyDescent="0.3">
      <c r="A586" s="138" t="s">
        <v>25</v>
      </c>
      <c r="B586" s="138">
        <v>58</v>
      </c>
      <c r="C586" s="129">
        <v>0</v>
      </c>
      <c r="D586" s="129">
        <v>0</v>
      </c>
      <c r="E586" s="130">
        <v>45370</v>
      </c>
    </row>
    <row r="587" spans="1:5" ht="24" customHeight="1" x14ac:dyDescent="0.3">
      <c r="A587" s="138" t="s">
        <v>25</v>
      </c>
      <c r="B587" s="138">
        <v>4.45</v>
      </c>
      <c r="C587" s="129">
        <v>0</v>
      </c>
      <c r="D587" s="129">
        <v>0</v>
      </c>
      <c r="E587" s="130">
        <v>45371</v>
      </c>
    </row>
    <row r="588" spans="1:5" ht="24" customHeight="1" x14ac:dyDescent="0.3">
      <c r="A588" s="138" t="s">
        <v>25</v>
      </c>
      <c r="B588" s="138">
        <v>11</v>
      </c>
      <c r="C588" s="129">
        <v>0</v>
      </c>
      <c r="D588" s="129">
        <v>0</v>
      </c>
      <c r="E588" s="130">
        <v>45372</v>
      </c>
    </row>
    <row r="589" spans="1:5" ht="24" customHeight="1" x14ac:dyDescent="0.3">
      <c r="A589" s="138" t="s">
        <v>25</v>
      </c>
      <c r="B589" s="138">
        <v>15.3</v>
      </c>
      <c r="C589" s="129">
        <v>0</v>
      </c>
      <c r="D589" s="129">
        <v>0</v>
      </c>
      <c r="E589" s="130">
        <v>45373</v>
      </c>
    </row>
    <row r="590" spans="1:5" ht="24" customHeight="1" x14ac:dyDescent="0.3">
      <c r="A590" s="138" t="s">
        <v>25</v>
      </c>
      <c r="B590" s="138">
        <v>39</v>
      </c>
      <c r="C590" s="129">
        <v>0</v>
      </c>
      <c r="D590" s="129">
        <v>0</v>
      </c>
      <c r="E590" s="130">
        <v>45374</v>
      </c>
    </row>
    <row r="591" spans="1:5" ht="24" customHeight="1" x14ac:dyDescent="0.3">
      <c r="A591" s="138" t="s">
        <v>112</v>
      </c>
      <c r="B591" s="138">
        <v>0</v>
      </c>
      <c r="C591" s="129">
        <v>0</v>
      </c>
      <c r="D591" s="129">
        <v>0</v>
      </c>
      <c r="E591" s="130">
        <v>45375</v>
      </c>
    </row>
    <row r="592" spans="1:5" ht="24" customHeight="1" x14ac:dyDescent="0.3">
      <c r="A592" s="138" t="s">
        <v>25</v>
      </c>
      <c r="B592" s="138">
        <v>47</v>
      </c>
      <c r="C592" s="129">
        <v>0</v>
      </c>
      <c r="D592" s="129">
        <v>0</v>
      </c>
      <c r="E592" s="130">
        <v>45376</v>
      </c>
    </row>
    <row r="593" spans="1:5" ht="24" customHeight="1" x14ac:dyDescent="0.3">
      <c r="A593" s="138" t="s">
        <v>112</v>
      </c>
      <c r="B593" s="138">
        <v>0</v>
      </c>
      <c r="C593" s="129">
        <v>0</v>
      </c>
      <c r="D593" s="129">
        <v>0</v>
      </c>
      <c r="E593" s="130">
        <v>45377</v>
      </c>
    </row>
    <row r="594" spans="1:5" ht="24" customHeight="1" x14ac:dyDescent="0.3">
      <c r="A594" s="138" t="s">
        <v>25</v>
      </c>
      <c r="B594" s="138">
        <v>4.45</v>
      </c>
      <c r="C594" s="129">
        <v>0</v>
      </c>
      <c r="D594" s="129">
        <v>0</v>
      </c>
      <c r="E594" s="130">
        <v>45378</v>
      </c>
    </row>
    <row r="595" spans="1:5" ht="24" customHeight="1" x14ac:dyDescent="0.3">
      <c r="A595" s="138" t="s">
        <v>25</v>
      </c>
      <c r="B595" s="138">
        <v>25</v>
      </c>
      <c r="C595" s="129">
        <v>0</v>
      </c>
      <c r="D595" s="129">
        <v>0</v>
      </c>
      <c r="E595" s="130">
        <v>45379</v>
      </c>
    </row>
    <row r="596" spans="1:5" ht="24" customHeight="1" x14ac:dyDescent="0.3">
      <c r="A596" s="138" t="s">
        <v>25</v>
      </c>
      <c r="B596" s="138">
        <v>24</v>
      </c>
      <c r="C596" s="129">
        <v>0</v>
      </c>
      <c r="D596" s="129">
        <v>0</v>
      </c>
      <c r="E596" s="130">
        <v>45380</v>
      </c>
    </row>
    <row r="597" spans="1:5" ht="24" customHeight="1" x14ac:dyDescent="0.3">
      <c r="A597" s="138" t="s">
        <v>25</v>
      </c>
      <c r="B597" s="138">
        <v>9.3000000000000007</v>
      </c>
      <c r="C597" s="129">
        <v>0</v>
      </c>
      <c r="D597" s="129">
        <v>0</v>
      </c>
      <c r="E597" s="130">
        <v>45381</v>
      </c>
    </row>
    <row r="598" spans="1:5" ht="24" customHeight="1" x14ac:dyDescent="0.3">
      <c r="A598" s="138" t="s">
        <v>25</v>
      </c>
      <c r="B598" s="138">
        <v>24.5</v>
      </c>
      <c r="C598" s="129">
        <v>0</v>
      </c>
      <c r="D598" s="129">
        <v>0</v>
      </c>
      <c r="E598" s="130">
        <v>45382</v>
      </c>
    </row>
    <row r="599" spans="1:5" ht="24" customHeight="1" x14ac:dyDescent="0.3">
      <c r="A599" s="138" t="s">
        <v>25</v>
      </c>
      <c r="B599" s="138">
        <v>10</v>
      </c>
      <c r="C599" s="129">
        <v>0</v>
      </c>
      <c r="D599" s="129">
        <v>0</v>
      </c>
      <c r="E599" s="130">
        <v>45383</v>
      </c>
    </row>
    <row r="600" spans="1:5" ht="24" customHeight="1" x14ac:dyDescent="0.3">
      <c r="A600" s="138" t="s">
        <v>25</v>
      </c>
      <c r="B600" s="138">
        <v>4.45</v>
      </c>
      <c r="C600" s="129">
        <v>0</v>
      </c>
      <c r="D600" s="129">
        <v>0</v>
      </c>
      <c r="E600" s="130">
        <v>45384</v>
      </c>
    </row>
    <row r="601" spans="1:5" ht="24" customHeight="1" x14ac:dyDescent="0.3">
      <c r="A601" s="138" t="s">
        <v>25</v>
      </c>
      <c r="B601" s="138">
        <v>32</v>
      </c>
      <c r="C601" s="129">
        <v>0</v>
      </c>
      <c r="D601" s="129">
        <v>0</v>
      </c>
      <c r="E601" s="130">
        <v>45385</v>
      </c>
    </row>
    <row r="602" spans="1:5" ht="24" customHeight="1" x14ac:dyDescent="0.3">
      <c r="A602" s="138" t="s">
        <v>25</v>
      </c>
      <c r="B602" s="138">
        <v>1</v>
      </c>
      <c r="C602" s="129">
        <v>0</v>
      </c>
      <c r="D602" s="129">
        <v>0</v>
      </c>
      <c r="E602" s="130">
        <v>45386</v>
      </c>
    </row>
    <row r="603" spans="1:5" ht="24" customHeight="1" x14ac:dyDescent="0.3">
      <c r="A603" s="138" t="s">
        <v>25</v>
      </c>
      <c r="B603" s="138">
        <v>73.75</v>
      </c>
      <c r="C603" s="129">
        <v>0</v>
      </c>
      <c r="D603" s="129">
        <v>0</v>
      </c>
      <c r="E603" s="130">
        <v>45387</v>
      </c>
    </row>
    <row r="604" spans="1:5" ht="24" customHeight="1" x14ac:dyDescent="0.3">
      <c r="A604" s="138" t="s">
        <v>25</v>
      </c>
      <c r="B604" s="138">
        <v>48</v>
      </c>
      <c r="C604" s="129">
        <v>0</v>
      </c>
      <c r="D604" s="129">
        <v>0</v>
      </c>
      <c r="E604" s="130">
        <v>45388</v>
      </c>
    </row>
    <row r="605" spans="1:5" ht="24" customHeight="1" x14ac:dyDescent="0.3">
      <c r="A605" s="138" t="s">
        <v>25</v>
      </c>
      <c r="B605" s="138">
        <v>20</v>
      </c>
      <c r="C605" s="129">
        <v>0</v>
      </c>
      <c r="D605" s="129">
        <v>0</v>
      </c>
      <c r="E605" s="130">
        <v>45389</v>
      </c>
    </row>
    <row r="606" spans="1:5" ht="24" customHeight="1" x14ac:dyDescent="0.3">
      <c r="A606" s="138" t="s">
        <v>25</v>
      </c>
      <c r="B606" s="138">
        <v>1.5</v>
      </c>
      <c r="C606" s="129">
        <v>0</v>
      </c>
      <c r="D606" s="129">
        <v>0</v>
      </c>
      <c r="E606" s="130">
        <v>45390</v>
      </c>
    </row>
    <row r="607" spans="1:5" ht="24" customHeight="1" x14ac:dyDescent="0.3">
      <c r="A607" s="138" t="s">
        <v>25</v>
      </c>
      <c r="B607" s="138">
        <v>15.3</v>
      </c>
      <c r="C607" s="129">
        <v>0</v>
      </c>
      <c r="D607" s="129">
        <v>0</v>
      </c>
      <c r="E607" s="130">
        <v>45391</v>
      </c>
    </row>
    <row r="608" spans="1:5" ht="24" customHeight="1" x14ac:dyDescent="0.3">
      <c r="A608" s="138" t="s">
        <v>25</v>
      </c>
      <c r="B608" s="138">
        <v>24.5</v>
      </c>
      <c r="C608" s="129">
        <v>0</v>
      </c>
      <c r="D608" s="129">
        <v>0</v>
      </c>
      <c r="E608" s="130">
        <v>45392</v>
      </c>
    </row>
    <row r="609" spans="1:5" ht="24" customHeight="1" x14ac:dyDescent="0.3">
      <c r="A609" s="138" t="s">
        <v>25</v>
      </c>
      <c r="B609" s="138">
        <v>27</v>
      </c>
      <c r="C609" s="129">
        <v>0</v>
      </c>
      <c r="D609" s="129">
        <v>0</v>
      </c>
      <c r="E609" s="130">
        <v>45393</v>
      </c>
    </row>
    <row r="610" spans="1:5" ht="24" customHeight="1" x14ac:dyDescent="0.3">
      <c r="A610" s="138" t="s">
        <v>25</v>
      </c>
      <c r="B610" s="138">
        <v>29</v>
      </c>
      <c r="C610" s="129">
        <v>0</v>
      </c>
      <c r="D610" s="129">
        <v>0</v>
      </c>
      <c r="E610" s="130">
        <v>45394</v>
      </c>
    </row>
    <row r="611" spans="1:5" ht="24" customHeight="1" x14ac:dyDescent="0.3">
      <c r="A611" s="138" t="s">
        <v>25</v>
      </c>
      <c r="B611" s="138">
        <v>23.5</v>
      </c>
      <c r="C611" s="129">
        <v>0</v>
      </c>
      <c r="D611" s="129">
        <v>0</v>
      </c>
      <c r="E611" s="130">
        <v>45395</v>
      </c>
    </row>
    <row r="612" spans="1:5" ht="24" customHeight="1" x14ac:dyDescent="0.3">
      <c r="A612" s="138" t="s">
        <v>25</v>
      </c>
      <c r="B612" s="138">
        <v>72</v>
      </c>
      <c r="C612" s="129">
        <v>0</v>
      </c>
      <c r="D612" s="129">
        <v>0</v>
      </c>
      <c r="E612" s="130">
        <v>45396</v>
      </c>
    </row>
    <row r="613" spans="1:5" ht="24" customHeight="1" x14ac:dyDescent="0.3">
      <c r="A613" s="138" t="s">
        <v>25</v>
      </c>
      <c r="B613" s="138">
        <v>20</v>
      </c>
      <c r="C613" s="129">
        <v>0</v>
      </c>
      <c r="D613" s="129">
        <v>0</v>
      </c>
      <c r="E613" s="130">
        <v>45397</v>
      </c>
    </row>
    <row r="614" spans="1:5" ht="24" customHeight="1" x14ac:dyDescent="0.3">
      <c r="A614" s="138" t="s">
        <v>25</v>
      </c>
      <c r="B614" s="138">
        <v>28.5</v>
      </c>
      <c r="C614" s="129">
        <v>0</v>
      </c>
      <c r="D614" s="129">
        <v>0</v>
      </c>
      <c r="E614" s="130">
        <v>45398</v>
      </c>
    </row>
    <row r="615" spans="1:5" ht="24" customHeight="1" x14ac:dyDescent="0.3">
      <c r="A615" s="138" t="s">
        <v>25</v>
      </c>
      <c r="B615" s="138">
        <v>6.5</v>
      </c>
      <c r="C615" s="129">
        <v>0</v>
      </c>
      <c r="D615" s="129">
        <v>0</v>
      </c>
      <c r="E615" s="130">
        <v>45399</v>
      </c>
    </row>
    <row r="616" spans="1:5" ht="24" customHeight="1" x14ac:dyDescent="0.3">
      <c r="A616" s="138" t="s">
        <v>25</v>
      </c>
      <c r="B616" s="138">
        <v>17</v>
      </c>
      <c r="C616" s="129">
        <v>0</v>
      </c>
      <c r="D616" s="129">
        <v>0</v>
      </c>
      <c r="E616" s="130">
        <v>45400</v>
      </c>
    </row>
    <row r="617" spans="1:5" ht="24" customHeight="1" x14ac:dyDescent="0.3">
      <c r="A617" s="138" t="s">
        <v>25</v>
      </c>
      <c r="B617" s="138">
        <v>5.5</v>
      </c>
      <c r="C617" s="129">
        <v>0</v>
      </c>
      <c r="D617" s="129">
        <v>0</v>
      </c>
      <c r="E617" s="130">
        <v>45401</v>
      </c>
    </row>
    <row r="618" spans="1:5" ht="24" customHeight="1" x14ac:dyDescent="0.3">
      <c r="A618" s="138" t="s">
        <v>25</v>
      </c>
      <c r="B618" s="138">
        <v>0</v>
      </c>
      <c r="C618" s="129">
        <v>0</v>
      </c>
      <c r="D618" s="129">
        <v>0</v>
      </c>
      <c r="E618" s="130">
        <v>45402</v>
      </c>
    </row>
    <row r="619" spans="1:5" ht="24" customHeight="1" x14ac:dyDescent="0.3">
      <c r="A619" s="138" t="s">
        <v>25</v>
      </c>
      <c r="B619" s="138">
        <v>0</v>
      </c>
      <c r="C619" s="129">
        <v>0</v>
      </c>
      <c r="D619" s="129">
        <v>0</v>
      </c>
      <c r="E619" s="130">
        <v>45403</v>
      </c>
    </row>
    <row r="620" spans="1:5" ht="24" customHeight="1" x14ac:dyDescent="0.3">
      <c r="A620" s="138" t="s">
        <v>25</v>
      </c>
      <c r="B620" s="138">
        <v>50</v>
      </c>
      <c r="C620" s="129">
        <v>0</v>
      </c>
      <c r="D620" s="129">
        <v>0</v>
      </c>
      <c r="E620" s="130">
        <v>45404</v>
      </c>
    </row>
    <row r="621" spans="1:5" ht="24" customHeight="1" x14ac:dyDescent="0.3">
      <c r="A621" s="138" t="s">
        <v>25</v>
      </c>
      <c r="B621" s="138">
        <v>7.5</v>
      </c>
      <c r="C621" s="129">
        <v>0</v>
      </c>
      <c r="D621" s="129">
        <v>0</v>
      </c>
      <c r="E621" s="130">
        <v>45405</v>
      </c>
    </row>
    <row r="622" spans="1:5" ht="24" customHeight="1" x14ac:dyDescent="0.3">
      <c r="A622" s="138" t="s">
        <v>25</v>
      </c>
      <c r="B622" s="138">
        <v>21</v>
      </c>
      <c r="C622" s="129">
        <v>0</v>
      </c>
      <c r="D622" s="129">
        <v>0</v>
      </c>
      <c r="E622" s="130">
        <v>45406</v>
      </c>
    </row>
    <row r="623" spans="1:5" ht="24" customHeight="1" x14ac:dyDescent="0.3">
      <c r="A623" s="138" t="s">
        <v>25</v>
      </c>
      <c r="B623" s="138">
        <v>4.5</v>
      </c>
      <c r="C623" s="129">
        <v>0</v>
      </c>
      <c r="D623" s="129">
        <v>0</v>
      </c>
      <c r="E623" s="130">
        <v>45407</v>
      </c>
    </row>
    <row r="624" spans="1:5" ht="24" customHeight="1" x14ac:dyDescent="0.3">
      <c r="A624" s="138" t="s">
        <v>25</v>
      </c>
      <c r="B624" s="138">
        <v>7</v>
      </c>
      <c r="C624" s="129">
        <v>0</v>
      </c>
      <c r="D624" s="129">
        <v>0</v>
      </c>
      <c r="E624" s="130">
        <v>45408</v>
      </c>
    </row>
    <row r="625" spans="1:5" ht="24" customHeight="1" x14ac:dyDescent="0.3">
      <c r="A625" s="138" t="s">
        <v>25</v>
      </c>
      <c r="B625" s="138">
        <v>60</v>
      </c>
      <c r="C625" s="129">
        <v>0</v>
      </c>
      <c r="D625" s="129">
        <v>0</v>
      </c>
      <c r="E625" s="130">
        <v>45409</v>
      </c>
    </row>
    <row r="626" spans="1:5" ht="24" customHeight="1" x14ac:dyDescent="0.3">
      <c r="A626" s="138" t="s">
        <v>25</v>
      </c>
      <c r="B626" s="138">
        <v>0</v>
      </c>
      <c r="C626" s="129">
        <v>0</v>
      </c>
      <c r="D626" s="129">
        <v>0</v>
      </c>
      <c r="E626" s="130">
        <v>45410</v>
      </c>
    </row>
    <row r="627" spans="1:5" ht="24" customHeight="1" x14ac:dyDescent="0.3">
      <c r="A627" s="138" t="s">
        <v>25</v>
      </c>
      <c r="B627" s="138">
        <v>14</v>
      </c>
      <c r="C627" s="129">
        <v>0</v>
      </c>
      <c r="D627" s="129">
        <v>0</v>
      </c>
      <c r="E627" s="130">
        <v>45411</v>
      </c>
    </row>
    <row r="628" spans="1:5" ht="24" customHeight="1" x14ac:dyDescent="0.3">
      <c r="A628" s="138" t="s">
        <v>25</v>
      </c>
      <c r="B628" s="138">
        <v>10</v>
      </c>
      <c r="C628" s="129">
        <v>0</v>
      </c>
      <c r="D628" s="129">
        <v>0</v>
      </c>
      <c r="E628" s="130">
        <v>45412</v>
      </c>
    </row>
    <row r="629" spans="1:5" ht="24" customHeight="1" x14ac:dyDescent="0.3">
      <c r="A629" s="138" t="s">
        <v>25</v>
      </c>
      <c r="B629" s="138">
        <v>50</v>
      </c>
      <c r="C629" s="129">
        <v>0</v>
      </c>
      <c r="D629" s="129">
        <v>0</v>
      </c>
      <c r="E629" s="130">
        <v>45413</v>
      </c>
    </row>
    <row r="630" spans="1:5" ht="24" customHeight="1" x14ac:dyDescent="0.3">
      <c r="A630" s="138" t="s">
        <v>25</v>
      </c>
      <c r="B630" s="138">
        <v>5</v>
      </c>
      <c r="C630" s="129">
        <v>0</v>
      </c>
      <c r="D630" s="129">
        <v>0</v>
      </c>
      <c r="E630" s="130">
        <v>45414</v>
      </c>
    </row>
    <row r="631" spans="1:5" ht="24" customHeight="1" x14ac:dyDescent="0.3">
      <c r="A631" s="138" t="s">
        <v>25</v>
      </c>
      <c r="B631" s="138">
        <v>11</v>
      </c>
      <c r="C631" s="129">
        <v>0</v>
      </c>
      <c r="D631" s="129">
        <v>0</v>
      </c>
      <c r="E631" s="130">
        <v>45415</v>
      </c>
    </row>
    <row r="632" spans="1:5" ht="24" customHeight="1" x14ac:dyDescent="0.3">
      <c r="A632" s="138" t="s">
        <v>25</v>
      </c>
      <c r="B632" s="138">
        <v>11</v>
      </c>
      <c r="C632" s="129">
        <v>0</v>
      </c>
      <c r="D632" s="129">
        <v>0</v>
      </c>
      <c r="E632" s="130">
        <v>45416</v>
      </c>
    </row>
    <row r="633" spans="1:5" ht="24" customHeight="1" x14ac:dyDescent="0.3">
      <c r="A633" s="138" t="s">
        <v>25</v>
      </c>
      <c r="B633" s="138">
        <v>47.65</v>
      </c>
      <c r="C633" s="129">
        <v>0</v>
      </c>
      <c r="D633" s="129">
        <v>0</v>
      </c>
      <c r="E633" s="130">
        <v>45417</v>
      </c>
    </row>
    <row r="634" spans="1:5" ht="24" customHeight="1" x14ac:dyDescent="0.3">
      <c r="A634" s="138" t="s">
        <v>25</v>
      </c>
      <c r="B634" s="138">
        <v>26</v>
      </c>
      <c r="C634" s="129">
        <v>0</v>
      </c>
      <c r="D634" s="129">
        <v>0</v>
      </c>
      <c r="E634" s="130">
        <v>45418</v>
      </c>
    </row>
    <row r="635" spans="1:5" ht="24" customHeight="1" x14ac:dyDescent="0.3">
      <c r="A635" s="138" t="s">
        <v>25</v>
      </c>
      <c r="B635" s="138">
        <v>100</v>
      </c>
      <c r="C635" s="129">
        <v>0</v>
      </c>
      <c r="D635" s="129">
        <v>0</v>
      </c>
      <c r="E635" s="130">
        <v>45419</v>
      </c>
    </row>
    <row r="636" spans="1:5" ht="24" customHeight="1" x14ac:dyDescent="0.3">
      <c r="A636" s="138" t="s">
        <v>25</v>
      </c>
      <c r="B636" s="138">
        <v>2.5</v>
      </c>
      <c r="C636" s="129">
        <v>0</v>
      </c>
      <c r="D636" s="129">
        <v>0</v>
      </c>
      <c r="E636" s="130">
        <v>45420</v>
      </c>
    </row>
    <row r="637" spans="1:5" ht="24" customHeight="1" x14ac:dyDescent="0.3">
      <c r="A637" s="138" t="s">
        <v>25</v>
      </c>
      <c r="B637" s="138">
        <v>16.5</v>
      </c>
      <c r="C637" s="129">
        <v>0</v>
      </c>
      <c r="D637" s="129">
        <v>0</v>
      </c>
      <c r="E637" s="130">
        <v>45421</v>
      </c>
    </row>
    <row r="638" spans="1:5" ht="24" customHeight="1" x14ac:dyDescent="0.3">
      <c r="A638" s="138" t="s">
        <v>25</v>
      </c>
      <c r="B638" s="138">
        <v>27</v>
      </c>
      <c r="C638" s="129">
        <v>0</v>
      </c>
      <c r="D638" s="129">
        <v>0</v>
      </c>
      <c r="E638" s="130">
        <v>45422</v>
      </c>
    </row>
    <row r="639" spans="1:5" ht="24" customHeight="1" x14ac:dyDescent="0.3">
      <c r="A639" s="138" t="s">
        <v>25</v>
      </c>
      <c r="B639" s="138">
        <v>2.7</v>
      </c>
      <c r="C639" s="129">
        <v>0</v>
      </c>
      <c r="D639" s="129">
        <v>0</v>
      </c>
      <c r="E639" s="130">
        <v>45423</v>
      </c>
    </row>
    <row r="640" spans="1:5" ht="24" customHeight="1" x14ac:dyDescent="0.3">
      <c r="A640" s="138" t="s">
        <v>25</v>
      </c>
      <c r="B640" s="138">
        <v>18.5</v>
      </c>
      <c r="C640" s="129">
        <v>0</v>
      </c>
      <c r="D640" s="129">
        <v>0</v>
      </c>
      <c r="E640" s="130">
        <v>45424</v>
      </c>
    </row>
    <row r="641" spans="1:5" ht="24" customHeight="1" x14ac:dyDescent="0.3">
      <c r="A641" s="135" t="s">
        <v>104</v>
      </c>
      <c r="B641" s="135">
        <v>576</v>
      </c>
      <c r="C641" s="129">
        <v>0</v>
      </c>
      <c r="D641" s="129">
        <v>0</v>
      </c>
      <c r="E641" s="130">
        <v>45425</v>
      </c>
    </row>
    <row r="642" spans="1:5" ht="24" customHeight="1" x14ac:dyDescent="0.3">
      <c r="A642" s="138" t="s">
        <v>25</v>
      </c>
      <c r="B642" s="138">
        <v>19</v>
      </c>
      <c r="C642" s="129">
        <v>0</v>
      </c>
      <c r="D642" s="129">
        <v>0</v>
      </c>
      <c r="E642" s="130">
        <v>45425</v>
      </c>
    </row>
    <row r="643" spans="1:5" ht="24" customHeight="1" x14ac:dyDescent="0.3">
      <c r="A643" s="138" t="s">
        <v>25</v>
      </c>
      <c r="B643" s="138">
        <v>18</v>
      </c>
      <c r="C643" s="129">
        <v>0</v>
      </c>
      <c r="D643" s="129">
        <v>0</v>
      </c>
      <c r="E643" s="130">
        <v>45426</v>
      </c>
    </row>
    <row r="644" spans="1:5" ht="24" customHeight="1" x14ac:dyDescent="0.3">
      <c r="A644" s="135" t="s">
        <v>19</v>
      </c>
      <c r="B644" s="135">
        <v>4400</v>
      </c>
      <c r="C644" s="129">
        <v>0</v>
      </c>
      <c r="D644" s="129">
        <v>0</v>
      </c>
      <c r="E644" s="130">
        <v>45427</v>
      </c>
    </row>
    <row r="645" spans="1:5" ht="24" customHeight="1" x14ac:dyDescent="0.3">
      <c r="A645" s="138" t="s">
        <v>25</v>
      </c>
      <c r="B645" s="138">
        <v>36</v>
      </c>
      <c r="C645" s="129">
        <v>0</v>
      </c>
      <c r="D645" s="129">
        <v>0</v>
      </c>
      <c r="E645" s="130">
        <v>45427</v>
      </c>
    </row>
    <row r="646" spans="1:5" ht="24" customHeight="1" x14ac:dyDescent="0.3">
      <c r="A646" s="138" t="s">
        <v>25</v>
      </c>
      <c r="B646" s="138">
        <v>2.7</v>
      </c>
      <c r="C646" s="129">
        <v>0</v>
      </c>
      <c r="D646" s="129">
        <v>0</v>
      </c>
      <c r="E646" s="130">
        <v>45428</v>
      </c>
    </row>
    <row r="647" spans="1:5" ht="24" customHeight="1" x14ac:dyDescent="0.3">
      <c r="A647" s="138" t="s">
        <v>25</v>
      </c>
      <c r="B647" s="138">
        <v>27</v>
      </c>
      <c r="C647" s="129">
        <v>0</v>
      </c>
      <c r="D647" s="129">
        <v>0</v>
      </c>
      <c r="E647" s="130">
        <v>45429</v>
      </c>
    </row>
    <row r="648" spans="1:5" ht="24" customHeight="1" x14ac:dyDescent="0.3">
      <c r="A648" s="135" t="s">
        <v>45</v>
      </c>
      <c r="B648" s="135">
        <v>353</v>
      </c>
      <c r="C648" s="129">
        <v>0</v>
      </c>
      <c r="D648" s="129">
        <v>0</v>
      </c>
      <c r="E648" s="130">
        <v>45430</v>
      </c>
    </row>
    <row r="649" spans="1:5" ht="24" customHeight="1" x14ac:dyDescent="0.3">
      <c r="A649" s="138" t="s">
        <v>25</v>
      </c>
      <c r="B649" s="138">
        <v>0</v>
      </c>
      <c r="C649" s="129">
        <v>0</v>
      </c>
      <c r="D649" s="129">
        <v>0</v>
      </c>
      <c r="E649" s="130">
        <v>45430</v>
      </c>
    </row>
    <row r="650" spans="1:5" ht="24" customHeight="1" x14ac:dyDescent="0.3">
      <c r="A650" s="138" t="s">
        <v>25</v>
      </c>
      <c r="B650" s="138">
        <v>45</v>
      </c>
      <c r="C650" s="129">
        <v>0</v>
      </c>
      <c r="D650" s="129">
        <v>0</v>
      </c>
      <c r="E650" s="130">
        <v>45431</v>
      </c>
    </row>
    <row r="651" spans="1:5" ht="24" customHeight="1" x14ac:dyDescent="0.3">
      <c r="A651" s="138" t="s">
        <v>25</v>
      </c>
      <c r="B651" s="138">
        <v>17.100000000000001</v>
      </c>
      <c r="C651" s="129">
        <v>0</v>
      </c>
      <c r="D651" s="129">
        <v>0</v>
      </c>
      <c r="E651" s="130">
        <v>45432</v>
      </c>
    </row>
    <row r="652" spans="1:5" ht="24" customHeight="1" x14ac:dyDescent="0.3">
      <c r="A652" s="138" t="s">
        <v>25</v>
      </c>
      <c r="B652" s="138">
        <v>31.25</v>
      </c>
      <c r="C652" s="129">
        <v>0</v>
      </c>
      <c r="D652" s="129">
        <v>0</v>
      </c>
      <c r="E652" s="130">
        <v>45433</v>
      </c>
    </row>
    <row r="653" spans="1:5" ht="24" customHeight="1" x14ac:dyDescent="0.3">
      <c r="A653" s="138" t="s">
        <v>25</v>
      </c>
      <c r="B653" s="138">
        <v>16</v>
      </c>
      <c r="C653" s="129">
        <v>0</v>
      </c>
      <c r="D653" s="129">
        <v>0</v>
      </c>
      <c r="E653" s="130">
        <v>45434</v>
      </c>
    </row>
    <row r="654" spans="1:5" ht="24" customHeight="1" x14ac:dyDescent="0.3">
      <c r="A654" s="138" t="s">
        <v>25</v>
      </c>
      <c r="B654" s="138">
        <v>4.7</v>
      </c>
      <c r="C654" s="129">
        <v>0</v>
      </c>
      <c r="D654" s="129">
        <v>0</v>
      </c>
      <c r="E654" s="130">
        <v>45435</v>
      </c>
    </row>
    <row r="655" spans="1:5" ht="24" customHeight="1" x14ac:dyDescent="0.3">
      <c r="A655" s="138" t="s">
        <v>25</v>
      </c>
      <c r="B655" s="138">
        <v>7.5</v>
      </c>
      <c r="C655" s="129">
        <v>0</v>
      </c>
      <c r="D655" s="129">
        <v>0</v>
      </c>
      <c r="E655" s="130">
        <v>45436</v>
      </c>
    </row>
    <row r="656" spans="1:5" ht="24" customHeight="1" x14ac:dyDescent="0.3">
      <c r="A656" s="138" t="s">
        <v>25</v>
      </c>
      <c r="B656" s="138">
        <v>34</v>
      </c>
      <c r="C656" s="129">
        <v>0</v>
      </c>
      <c r="D656" s="129">
        <v>0</v>
      </c>
      <c r="E656" s="130">
        <v>45437</v>
      </c>
    </row>
    <row r="657" spans="1:5" ht="24" customHeight="1" x14ac:dyDescent="0.3">
      <c r="A657" s="138" t="s">
        <v>25</v>
      </c>
      <c r="B657" s="138">
        <v>0</v>
      </c>
      <c r="C657" s="129">
        <v>0</v>
      </c>
      <c r="D657" s="129">
        <v>0</v>
      </c>
      <c r="E657" s="130">
        <v>45438</v>
      </c>
    </row>
    <row r="658" spans="1:5" ht="24" customHeight="1" x14ac:dyDescent="0.3">
      <c r="A658" s="138" t="s">
        <v>25</v>
      </c>
      <c r="B658" s="138">
        <v>27</v>
      </c>
      <c r="C658" s="129">
        <v>0</v>
      </c>
      <c r="D658" s="129">
        <v>0</v>
      </c>
      <c r="E658" s="130">
        <v>45439</v>
      </c>
    </row>
    <row r="659" spans="1:5" ht="24" customHeight="1" x14ac:dyDescent="0.3">
      <c r="A659" s="138" t="s">
        <v>25</v>
      </c>
      <c r="B659" s="138">
        <v>28</v>
      </c>
      <c r="C659" s="129">
        <v>0</v>
      </c>
      <c r="D659" s="129">
        <v>0</v>
      </c>
      <c r="E659" s="130">
        <v>45440</v>
      </c>
    </row>
    <row r="660" spans="1:5" ht="24" customHeight="1" x14ac:dyDescent="0.3">
      <c r="A660" s="138" t="s">
        <v>25</v>
      </c>
      <c r="B660" s="138">
        <v>5.5</v>
      </c>
      <c r="C660" s="129">
        <v>0</v>
      </c>
      <c r="D660" s="129">
        <v>0</v>
      </c>
      <c r="E660" s="130">
        <v>45441</v>
      </c>
    </row>
    <row r="661" spans="1:5" ht="24" customHeight="1" x14ac:dyDescent="0.3">
      <c r="A661" s="138" t="s">
        <v>25</v>
      </c>
      <c r="B661" s="138">
        <v>35</v>
      </c>
      <c r="C661" s="129">
        <v>0</v>
      </c>
      <c r="D661" s="129">
        <v>0</v>
      </c>
      <c r="E661" s="130">
        <v>45442</v>
      </c>
    </row>
    <row r="662" spans="1:5" ht="24" customHeight="1" x14ac:dyDescent="0.3">
      <c r="A662" s="138" t="s">
        <v>25</v>
      </c>
      <c r="B662" s="138">
        <v>8.5</v>
      </c>
      <c r="C662" s="129">
        <v>0</v>
      </c>
      <c r="D662" s="129">
        <v>0</v>
      </c>
      <c r="E662" s="130">
        <v>45443</v>
      </c>
    </row>
    <row r="663" spans="1:5" ht="24" customHeight="1" x14ac:dyDescent="0.3">
      <c r="A663" s="138" t="s">
        <v>25</v>
      </c>
      <c r="B663" s="138">
        <v>0</v>
      </c>
      <c r="C663" s="129">
        <v>0</v>
      </c>
      <c r="D663" s="129">
        <v>0</v>
      </c>
      <c r="E663" s="130">
        <v>45444</v>
      </c>
    </row>
    <row r="664" spans="1:5" ht="24" customHeight="1" x14ac:dyDescent="0.3">
      <c r="A664" s="138" t="s">
        <v>25</v>
      </c>
      <c r="B664" s="138">
        <v>16.100000000000001</v>
      </c>
      <c r="C664" s="129">
        <v>0</v>
      </c>
      <c r="D664" s="129">
        <v>0</v>
      </c>
      <c r="E664" s="130">
        <v>45445</v>
      </c>
    </row>
    <row r="665" spans="1:5" ht="24" customHeight="1" x14ac:dyDescent="0.3">
      <c r="A665" s="138" t="s">
        <v>25</v>
      </c>
      <c r="B665" s="138">
        <v>32</v>
      </c>
      <c r="C665" s="129">
        <v>0</v>
      </c>
      <c r="D665" s="129">
        <v>0</v>
      </c>
      <c r="E665" s="130">
        <v>45446</v>
      </c>
    </row>
    <row r="666" spans="1:5" ht="24" customHeight="1" x14ac:dyDescent="0.3">
      <c r="A666" s="138" t="s">
        <v>25</v>
      </c>
      <c r="B666" s="138">
        <v>34</v>
      </c>
      <c r="C666" s="129">
        <v>0</v>
      </c>
      <c r="D666" s="129">
        <v>0</v>
      </c>
      <c r="E666" s="130">
        <v>45447</v>
      </c>
    </row>
    <row r="667" spans="1:5" ht="24" customHeight="1" x14ac:dyDescent="0.3">
      <c r="A667" s="138" t="s">
        <v>25</v>
      </c>
      <c r="B667" s="138">
        <v>21</v>
      </c>
      <c r="C667" s="129">
        <v>0</v>
      </c>
      <c r="D667" s="129">
        <v>0</v>
      </c>
      <c r="E667" s="130">
        <v>45448</v>
      </c>
    </row>
    <row r="668" spans="1:5" ht="24" customHeight="1" x14ac:dyDescent="0.3">
      <c r="A668" s="138" t="s">
        <v>25</v>
      </c>
      <c r="B668" s="138">
        <v>17</v>
      </c>
      <c r="C668" s="129">
        <v>0</v>
      </c>
      <c r="D668" s="129">
        <v>0</v>
      </c>
      <c r="E668" s="130">
        <v>45449</v>
      </c>
    </row>
    <row r="669" spans="1:5" ht="24" customHeight="1" x14ac:dyDescent="0.3">
      <c r="A669" s="138" t="s">
        <v>25</v>
      </c>
      <c r="B669" s="138">
        <v>6</v>
      </c>
      <c r="C669" s="129">
        <v>0</v>
      </c>
      <c r="D669" s="129">
        <v>0</v>
      </c>
      <c r="E669" s="130">
        <v>45450</v>
      </c>
    </row>
    <row r="670" spans="1:5" ht="24" customHeight="1" x14ac:dyDescent="0.3">
      <c r="A670" s="138" t="s">
        <v>25</v>
      </c>
      <c r="B670" s="138">
        <v>12.5</v>
      </c>
      <c r="C670" s="129">
        <v>0</v>
      </c>
      <c r="D670" s="129">
        <v>0</v>
      </c>
      <c r="E670" s="130">
        <v>45451</v>
      </c>
    </row>
    <row r="671" spans="1:5" ht="24" customHeight="1" x14ac:dyDescent="0.3">
      <c r="A671" s="138" t="s">
        <v>25</v>
      </c>
      <c r="B671" s="138">
        <v>12.5</v>
      </c>
      <c r="C671" s="129">
        <v>0</v>
      </c>
      <c r="D671" s="129">
        <v>0</v>
      </c>
      <c r="E671" s="130">
        <v>45452</v>
      </c>
    </row>
    <row r="672" spans="1:5" ht="24" customHeight="1" x14ac:dyDescent="0.3">
      <c r="A672" s="138" t="s">
        <v>25</v>
      </c>
      <c r="B672" s="138">
        <v>28</v>
      </c>
      <c r="C672" s="129">
        <v>0</v>
      </c>
      <c r="D672" s="129">
        <v>0</v>
      </c>
      <c r="E672" s="130">
        <v>45453</v>
      </c>
    </row>
    <row r="673" spans="1:5" ht="24" customHeight="1" x14ac:dyDescent="0.3">
      <c r="A673" s="138" t="s">
        <v>25</v>
      </c>
      <c r="B673" s="138">
        <v>37</v>
      </c>
      <c r="C673" s="129">
        <v>0</v>
      </c>
      <c r="D673" s="129">
        <v>0</v>
      </c>
      <c r="E673" s="130">
        <v>45454</v>
      </c>
    </row>
    <row r="674" spans="1:5" ht="24" customHeight="1" x14ac:dyDescent="0.3">
      <c r="A674" s="138" t="s">
        <v>25</v>
      </c>
      <c r="B674" s="138">
        <v>11</v>
      </c>
      <c r="C674" s="129">
        <v>0</v>
      </c>
      <c r="D674" s="129">
        <v>0</v>
      </c>
      <c r="E674" s="130">
        <v>45455</v>
      </c>
    </row>
    <row r="675" spans="1:5" ht="24" customHeight="1" x14ac:dyDescent="0.3">
      <c r="A675" s="135" t="s">
        <v>104</v>
      </c>
      <c r="B675" s="135">
        <v>115</v>
      </c>
      <c r="C675" s="129">
        <v>0</v>
      </c>
      <c r="D675" s="129">
        <v>0</v>
      </c>
      <c r="E675" s="130">
        <v>45456</v>
      </c>
    </row>
    <row r="676" spans="1:5" ht="24" customHeight="1" x14ac:dyDescent="0.3">
      <c r="A676" s="138" t="s">
        <v>25</v>
      </c>
      <c r="B676" s="138">
        <v>20</v>
      </c>
      <c r="C676" s="129">
        <v>0</v>
      </c>
      <c r="D676" s="129">
        <v>0</v>
      </c>
      <c r="E676" s="130">
        <v>45456</v>
      </c>
    </row>
    <row r="677" spans="1:5" ht="24" customHeight="1" x14ac:dyDescent="0.3">
      <c r="A677" s="138" t="s">
        <v>25</v>
      </c>
      <c r="B677" s="138">
        <v>9</v>
      </c>
      <c r="C677" s="129">
        <v>0</v>
      </c>
      <c r="D677" s="129">
        <v>0</v>
      </c>
      <c r="E677" s="130">
        <v>45457</v>
      </c>
    </row>
    <row r="678" spans="1:5" ht="24" customHeight="1" x14ac:dyDescent="0.3">
      <c r="A678" s="135" t="s">
        <v>19</v>
      </c>
      <c r="B678" s="135">
        <v>1045</v>
      </c>
      <c r="C678" s="129">
        <v>0</v>
      </c>
      <c r="D678" s="129">
        <v>0</v>
      </c>
      <c r="E678" s="130">
        <v>45458</v>
      </c>
    </row>
    <row r="679" spans="1:5" ht="24" customHeight="1" x14ac:dyDescent="0.3">
      <c r="A679" s="138" t="s">
        <v>25</v>
      </c>
      <c r="B679" s="138">
        <v>8.5</v>
      </c>
      <c r="C679" s="129">
        <v>0</v>
      </c>
      <c r="D679" s="129">
        <v>0</v>
      </c>
      <c r="E679" s="130">
        <v>45458</v>
      </c>
    </row>
    <row r="680" spans="1:5" ht="24" customHeight="1" x14ac:dyDescent="0.3">
      <c r="A680" s="138" t="s">
        <v>25</v>
      </c>
      <c r="B680" s="138">
        <v>22.5</v>
      </c>
      <c r="C680" s="129">
        <v>0</v>
      </c>
      <c r="D680" s="129">
        <v>0</v>
      </c>
      <c r="E680" s="130">
        <v>45459</v>
      </c>
    </row>
    <row r="681" spans="1:5" ht="24" customHeight="1" x14ac:dyDescent="0.3">
      <c r="A681" s="138" t="s">
        <v>25</v>
      </c>
      <c r="B681" s="138">
        <v>31.5</v>
      </c>
      <c r="C681" s="129">
        <v>0</v>
      </c>
      <c r="D681" s="129">
        <v>0</v>
      </c>
      <c r="E681" s="130">
        <v>45460</v>
      </c>
    </row>
    <row r="682" spans="1:5" ht="24" customHeight="1" x14ac:dyDescent="0.3">
      <c r="A682" s="138" t="s">
        <v>25</v>
      </c>
      <c r="B682" s="138">
        <v>14.9</v>
      </c>
      <c r="C682" s="129">
        <v>0</v>
      </c>
      <c r="D682" s="129">
        <v>0</v>
      </c>
      <c r="E682" s="130">
        <v>45461</v>
      </c>
    </row>
    <row r="683" spans="1:5" ht="24" customHeight="1" x14ac:dyDescent="0.3">
      <c r="A683" s="138" t="s">
        <v>25</v>
      </c>
      <c r="B683" s="138">
        <v>10</v>
      </c>
      <c r="C683" s="129">
        <v>0</v>
      </c>
      <c r="D683" s="129">
        <v>0</v>
      </c>
      <c r="E683" s="130">
        <v>45462</v>
      </c>
    </row>
    <row r="684" spans="1:5" ht="24" customHeight="1" x14ac:dyDescent="0.3">
      <c r="A684" s="138" t="s">
        <v>25</v>
      </c>
      <c r="B684" s="138">
        <v>14.5</v>
      </c>
      <c r="C684" s="129">
        <v>0</v>
      </c>
      <c r="D684" s="129">
        <v>0</v>
      </c>
      <c r="E684" s="130">
        <v>45463</v>
      </c>
    </row>
    <row r="685" spans="1:5" ht="24" customHeight="1" x14ac:dyDescent="0.3">
      <c r="A685" s="138" t="s">
        <v>25</v>
      </c>
      <c r="B685" s="138">
        <v>17</v>
      </c>
      <c r="C685" s="129">
        <v>0</v>
      </c>
      <c r="D685" s="129">
        <v>0</v>
      </c>
      <c r="E685" s="130">
        <v>45464</v>
      </c>
    </row>
    <row r="686" spans="1:5" ht="24" customHeight="1" x14ac:dyDescent="0.3">
      <c r="A686" s="135" t="s">
        <v>45</v>
      </c>
      <c r="B686" s="135">
        <v>120</v>
      </c>
      <c r="C686" s="129">
        <v>0</v>
      </c>
      <c r="D686" s="129">
        <v>0</v>
      </c>
      <c r="E686" s="136">
        <v>45465</v>
      </c>
    </row>
    <row r="687" spans="1:5" ht="24" customHeight="1" x14ac:dyDescent="0.3">
      <c r="A687" s="135" t="s">
        <v>103</v>
      </c>
      <c r="B687" s="135">
        <v>120</v>
      </c>
      <c r="C687" s="129">
        <v>0</v>
      </c>
      <c r="D687" s="129">
        <v>0</v>
      </c>
      <c r="E687" s="130">
        <v>45465</v>
      </c>
    </row>
    <row r="688" spans="1:5" ht="24" customHeight="1" x14ac:dyDescent="0.3">
      <c r="A688" s="138" t="s">
        <v>25</v>
      </c>
      <c r="B688" s="138">
        <v>7</v>
      </c>
      <c r="C688" s="129">
        <v>0</v>
      </c>
      <c r="D688" s="129">
        <v>0</v>
      </c>
      <c r="E688" s="130">
        <v>45465</v>
      </c>
    </row>
    <row r="689" spans="1:5" ht="24" customHeight="1" x14ac:dyDescent="0.3">
      <c r="A689" s="138" t="s">
        <v>25</v>
      </c>
      <c r="B689" s="138">
        <v>0</v>
      </c>
      <c r="C689" s="129">
        <v>0</v>
      </c>
      <c r="D689" s="129">
        <v>0</v>
      </c>
      <c r="E689" s="130">
        <v>45466</v>
      </c>
    </row>
    <row r="690" spans="1:5" ht="24" customHeight="1" x14ac:dyDescent="0.3">
      <c r="A690" s="138" t="s">
        <v>25</v>
      </c>
      <c r="B690" s="138">
        <v>75</v>
      </c>
      <c r="C690" s="129">
        <v>0</v>
      </c>
      <c r="D690" s="129">
        <v>0</v>
      </c>
      <c r="E690" s="130">
        <v>45467</v>
      </c>
    </row>
    <row r="691" spans="1:5" ht="24" customHeight="1" x14ac:dyDescent="0.3">
      <c r="A691" s="135" t="s">
        <v>45</v>
      </c>
      <c r="B691" s="135">
        <v>54</v>
      </c>
      <c r="C691" s="129">
        <v>0</v>
      </c>
      <c r="D691" s="129">
        <v>0</v>
      </c>
      <c r="E691" s="130">
        <v>45468</v>
      </c>
    </row>
    <row r="692" spans="1:5" ht="24" customHeight="1" x14ac:dyDescent="0.3">
      <c r="A692" s="138" t="s">
        <v>25</v>
      </c>
      <c r="B692" s="138">
        <v>0</v>
      </c>
      <c r="C692" s="129">
        <v>0</v>
      </c>
      <c r="D692" s="129">
        <v>0</v>
      </c>
      <c r="E692" s="130">
        <v>45468</v>
      </c>
    </row>
    <row r="693" spans="1:5" ht="24" customHeight="1" x14ac:dyDescent="0.3">
      <c r="A693" s="138" t="s">
        <v>25</v>
      </c>
      <c r="B693" s="138">
        <v>21.5</v>
      </c>
      <c r="C693" s="129">
        <v>0</v>
      </c>
      <c r="D693" s="129">
        <v>0</v>
      </c>
      <c r="E693" s="130">
        <v>45469</v>
      </c>
    </row>
    <row r="694" spans="1:5" ht="24" customHeight="1" x14ac:dyDescent="0.3">
      <c r="A694" s="138" t="s">
        <v>25</v>
      </c>
      <c r="B694" s="138">
        <v>7</v>
      </c>
      <c r="C694" s="129">
        <v>0</v>
      </c>
      <c r="D694" s="129">
        <v>0</v>
      </c>
      <c r="E694" s="130">
        <v>45470</v>
      </c>
    </row>
    <row r="695" spans="1:5" ht="24" customHeight="1" x14ac:dyDescent="0.3">
      <c r="A695" s="135" t="s">
        <v>45</v>
      </c>
      <c r="B695" s="135">
        <v>110</v>
      </c>
      <c r="C695" s="129">
        <v>0</v>
      </c>
      <c r="D695" s="129">
        <v>0</v>
      </c>
      <c r="E695" s="130">
        <v>45471</v>
      </c>
    </row>
    <row r="696" spans="1:5" ht="24" customHeight="1" x14ac:dyDescent="0.3">
      <c r="A696" s="138" t="s">
        <v>25</v>
      </c>
      <c r="B696" s="138">
        <v>7</v>
      </c>
      <c r="C696" s="129">
        <v>0</v>
      </c>
      <c r="D696" s="129">
        <v>0</v>
      </c>
      <c r="E696" s="130">
        <v>45471</v>
      </c>
    </row>
    <row r="697" spans="1:5" ht="24" customHeight="1" x14ac:dyDescent="0.3">
      <c r="A697" s="138" t="s">
        <v>25</v>
      </c>
      <c r="B697" s="138">
        <v>0</v>
      </c>
      <c r="C697" s="129">
        <v>0</v>
      </c>
      <c r="D697" s="129">
        <v>0</v>
      </c>
      <c r="E697" s="130">
        <v>45472</v>
      </c>
    </row>
    <row r="698" spans="1:5" ht="24" customHeight="1" x14ac:dyDescent="0.3">
      <c r="A698" s="138" t="s">
        <v>112</v>
      </c>
      <c r="B698" s="138">
        <v>0</v>
      </c>
      <c r="C698" s="129">
        <v>0</v>
      </c>
      <c r="D698" s="129">
        <v>0</v>
      </c>
      <c r="E698" s="130">
        <v>45473</v>
      </c>
    </row>
    <row r="699" spans="1:5" ht="24" customHeight="1" x14ac:dyDescent="0.3">
      <c r="A699" s="138" t="s">
        <v>25</v>
      </c>
      <c r="B699" s="138">
        <v>33</v>
      </c>
      <c r="C699" s="129">
        <v>0</v>
      </c>
      <c r="D699" s="129">
        <v>0</v>
      </c>
      <c r="E699" s="130">
        <v>45474</v>
      </c>
    </row>
    <row r="700" spans="1:5" ht="24" customHeight="1" x14ac:dyDescent="0.3">
      <c r="A700" s="138" t="s">
        <v>25</v>
      </c>
      <c r="B700" s="138">
        <v>7</v>
      </c>
      <c r="C700" s="129">
        <v>0</v>
      </c>
      <c r="D700" s="129">
        <v>0</v>
      </c>
      <c r="E700" s="130">
        <v>45475</v>
      </c>
    </row>
    <row r="701" spans="1:5" ht="24" customHeight="1" x14ac:dyDescent="0.3">
      <c r="A701" s="138" t="s">
        <v>25</v>
      </c>
      <c r="B701" s="138">
        <v>90</v>
      </c>
      <c r="C701" s="129">
        <v>0</v>
      </c>
      <c r="D701" s="129">
        <v>0</v>
      </c>
      <c r="E701" s="130">
        <v>45476</v>
      </c>
    </row>
    <row r="702" spans="1:5" ht="24" customHeight="1" x14ac:dyDescent="0.3">
      <c r="A702" s="138" t="s">
        <v>25</v>
      </c>
      <c r="B702" s="138">
        <v>15</v>
      </c>
      <c r="C702" s="129">
        <v>0</v>
      </c>
      <c r="D702" s="129">
        <v>0</v>
      </c>
      <c r="E702" s="130">
        <v>45477</v>
      </c>
    </row>
    <row r="703" spans="1:5" ht="24" customHeight="1" x14ac:dyDescent="0.3">
      <c r="A703" s="135" t="s">
        <v>45</v>
      </c>
      <c r="B703" s="135">
        <v>50</v>
      </c>
      <c r="C703" s="129">
        <v>0</v>
      </c>
      <c r="D703" s="129">
        <v>0</v>
      </c>
      <c r="E703" s="130">
        <v>45478</v>
      </c>
    </row>
    <row r="704" spans="1:5" ht="24" customHeight="1" x14ac:dyDescent="0.3">
      <c r="A704" s="138" t="s">
        <v>112</v>
      </c>
      <c r="B704" s="138">
        <v>0</v>
      </c>
      <c r="C704" s="129">
        <v>0</v>
      </c>
      <c r="D704" s="129">
        <v>0</v>
      </c>
      <c r="E704" s="130">
        <v>45478</v>
      </c>
    </row>
    <row r="705" spans="1:5" ht="24" customHeight="1" x14ac:dyDescent="0.3">
      <c r="A705" s="138" t="s">
        <v>112</v>
      </c>
      <c r="B705" s="138">
        <v>0</v>
      </c>
      <c r="C705" s="129">
        <v>0</v>
      </c>
      <c r="D705" s="129">
        <v>0</v>
      </c>
      <c r="E705" s="130">
        <v>45479</v>
      </c>
    </row>
    <row r="706" spans="1:5" ht="24" customHeight="1" x14ac:dyDescent="0.3">
      <c r="A706" s="138" t="s">
        <v>25</v>
      </c>
      <c r="B706" s="138">
        <v>6.5</v>
      </c>
      <c r="C706" s="129">
        <v>0</v>
      </c>
      <c r="D706" s="129">
        <v>0</v>
      </c>
      <c r="E706" s="130">
        <v>45480</v>
      </c>
    </row>
    <row r="707" spans="1:5" ht="24" customHeight="1" x14ac:dyDescent="0.3">
      <c r="A707" s="135" t="s">
        <v>45</v>
      </c>
      <c r="B707" s="135">
        <v>20</v>
      </c>
      <c r="C707" s="129">
        <v>0</v>
      </c>
      <c r="D707" s="129">
        <v>0</v>
      </c>
      <c r="E707" s="130">
        <v>45481</v>
      </c>
    </row>
    <row r="708" spans="1:5" ht="24" customHeight="1" x14ac:dyDescent="0.3">
      <c r="A708" s="138" t="s">
        <v>25</v>
      </c>
      <c r="B708" s="138">
        <v>6.7</v>
      </c>
      <c r="C708" s="129">
        <v>0</v>
      </c>
      <c r="D708" s="129">
        <v>0</v>
      </c>
      <c r="E708" s="130">
        <v>45481</v>
      </c>
    </row>
    <row r="709" spans="1:5" ht="24" customHeight="1" x14ac:dyDescent="0.3">
      <c r="A709" s="138" t="s">
        <v>25</v>
      </c>
      <c r="B709" s="138">
        <v>8.1999999999999993</v>
      </c>
      <c r="C709" s="129">
        <v>0</v>
      </c>
      <c r="D709" s="129">
        <v>0</v>
      </c>
      <c r="E709" s="130">
        <v>45482</v>
      </c>
    </row>
    <row r="710" spans="1:5" ht="24" customHeight="1" x14ac:dyDescent="0.3">
      <c r="A710" s="135" t="s">
        <v>45</v>
      </c>
      <c r="B710" s="135">
        <v>90</v>
      </c>
      <c r="C710" s="129">
        <v>0</v>
      </c>
      <c r="D710" s="129">
        <v>0</v>
      </c>
      <c r="E710" s="130">
        <v>45483</v>
      </c>
    </row>
    <row r="711" spans="1:5" ht="24" customHeight="1" x14ac:dyDescent="0.3">
      <c r="A711" s="138" t="s">
        <v>112</v>
      </c>
      <c r="B711" s="138">
        <v>0</v>
      </c>
      <c r="C711" s="129">
        <v>0</v>
      </c>
      <c r="D711" s="129">
        <v>0</v>
      </c>
      <c r="E711" s="130">
        <v>45483</v>
      </c>
    </row>
    <row r="712" spans="1:5" ht="24" customHeight="1" x14ac:dyDescent="0.3">
      <c r="A712" s="138" t="s">
        <v>25</v>
      </c>
      <c r="B712" s="138">
        <v>55</v>
      </c>
      <c r="C712" s="129">
        <v>0</v>
      </c>
      <c r="D712" s="129">
        <v>0</v>
      </c>
      <c r="E712" s="130">
        <v>45484</v>
      </c>
    </row>
    <row r="713" spans="1:5" ht="24" customHeight="1" x14ac:dyDescent="0.3">
      <c r="A713" s="138" t="s">
        <v>25</v>
      </c>
      <c r="B713" s="138">
        <v>25</v>
      </c>
      <c r="C713" s="129">
        <v>0</v>
      </c>
      <c r="D713" s="129">
        <v>0</v>
      </c>
      <c r="E713" s="130">
        <v>45485</v>
      </c>
    </row>
    <row r="714" spans="1:5" ht="24" customHeight="1" x14ac:dyDescent="0.3">
      <c r="A714" s="135" t="s">
        <v>104</v>
      </c>
      <c r="B714" s="135">
        <v>115.5</v>
      </c>
      <c r="C714" s="129">
        <v>0</v>
      </c>
      <c r="D714" s="129">
        <v>0</v>
      </c>
      <c r="E714" s="130">
        <v>45486</v>
      </c>
    </row>
    <row r="715" spans="1:5" ht="24" customHeight="1" x14ac:dyDescent="0.3">
      <c r="A715" s="138" t="s">
        <v>112</v>
      </c>
      <c r="B715" s="138">
        <v>0</v>
      </c>
      <c r="C715" s="129">
        <v>0</v>
      </c>
      <c r="D715" s="129">
        <v>0</v>
      </c>
      <c r="E715" s="130">
        <v>45486</v>
      </c>
    </row>
    <row r="716" spans="1:5" ht="24" customHeight="1" x14ac:dyDescent="0.3">
      <c r="A716" s="138" t="s">
        <v>25</v>
      </c>
      <c r="B716" s="138">
        <v>86.5</v>
      </c>
      <c r="C716" s="129">
        <v>0</v>
      </c>
      <c r="D716" s="129">
        <v>0</v>
      </c>
      <c r="E716" s="130">
        <v>45487</v>
      </c>
    </row>
    <row r="717" spans="1:5" ht="24" customHeight="1" x14ac:dyDescent="0.3">
      <c r="A717" s="135" t="s">
        <v>19</v>
      </c>
      <c r="B717" s="135">
        <v>1045</v>
      </c>
      <c r="C717" s="129">
        <v>0</v>
      </c>
      <c r="D717" s="129">
        <v>0</v>
      </c>
      <c r="E717" s="130">
        <v>45488</v>
      </c>
    </row>
    <row r="718" spans="1:5" ht="24" customHeight="1" x14ac:dyDescent="0.3">
      <c r="A718" s="138" t="s">
        <v>25</v>
      </c>
      <c r="B718" s="138">
        <v>6.5</v>
      </c>
      <c r="C718" s="129">
        <v>0</v>
      </c>
      <c r="D718" s="129">
        <v>0</v>
      </c>
      <c r="E718" s="130">
        <v>45488</v>
      </c>
    </row>
    <row r="719" spans="1:5" ht="24" customHeight="1" x14ac:dyDescent="0.3">
      <c r="A719" s="138" t="s">
        <v>25</v>
      </c>
      <c r="B719" s="138">
        <v>6.5</v>
      </c>
      <c r="C719" s="129">
        <v>0</v>
      </c>
      <c r="D719" s="129">
        <v>0</v>
      </c>
      <c r="E719" s="130">
        <v>45489</v>
      </c>
    </row>
    <row r="720" spans="1:5" ht="24" customHeight="1" x14ac:dyDescent="0.3">
      <c r="A720" s="138" t="s">
        <v>25</v>
      </c>
      <c r="B720" s="138">
        <v>9</v>
      </c>
      <c r="C720" s="129">
        <v>0</v>
      </c>
      <c r="D720" s="129">
        <v>0</v>
      </c>
      <c r="E720" s="130">
        <v>45490</v>
      </c>
    </row>
    <row r="721" spans="1:5" ht="24" customHeight="1" x14ac:dyDescent="0.3">
      <c r="A721" s="135" t="s">
        <v>45</v>
      </c>
      <c r="B721" s="135">
        <v>67</v>
      </c>
      <c r="C721" s="129">
        <v>0</v>
      </c>
      <c r="D721" s="129">
        <v>0</v>
      </c>
      <c r="E721" s="130">
        <v>45491</v>
      </c>
    </row>
    <row r="722" spans="1:5" ht="24" customHeight="1" x14ac:dyDescent="0.3">
      <c r="A722" s="138" t="s">
        <v>25</v>
      </c>
      <c r="B722" s="138">
        <v>18</v>
      </c>
      <c r="C722" s="129">
        <v>0</v>
      </c>
      <c r="D722" s="129">
        <v>0</v>
      </c>
      <c r="E722" s="130">
        <v>45491</v>
      </c>
    </row>
    <row r="723" spans="1:5" ht="24" customHeight="1" x14ac:dyDescent="0.3">
      <c r="A723" s="135" t="s">
        <v>28</v>
      </c>
      <c r="B723" s="135">
        <v>10</v>
      </c>
      <c r="C723" s="129">
        <v>0</v>
      </c>
      <c r="D723" s="129">
        <v>0</v>
      </c>
      <c r="E723" s="130">
        <v>45492</v>
      </c>
    </row>
    <row r="724" spans="1:5" ht="24" customHeight="1" x14ac:dyDescent="0.3">
      <c r="A724" s="138" t="s">
        <v>112</v>
      </c>
      <c r="B724" s="138">
        <v>0</v>
      </c>
      <c r="C724" s="129">
        <v>0</v>
      </c>
      <c r="D724" s="129">
        <v>0</v>
      </c>
      <c r="E724" s="130">
        <v>45492</v>
      </c>
    </row>
    <row r="725" spans="1:5" ht="24" customHeight="1" x14ac:dyDescent="0.3">
      <c r="A725" s="135" t="s">
        <v>45</v>
      </c>
      <c r="B725" s="135">
        <v>40</v>
      </c>
      <c r="C725" s="129">
        <v>0</v>
      </c>
      <c r="D725" s="129">
        <v>0</v>
      </c>
      <c r="E725" s="130">
        <v>45493</v>
      </c>
    </row>
    <row r="726" spans="1:5" ht="24" customHeight="1" x14ac:dyDescent="0.3">
      <c r="A726" s="138" t="s">
        <v>25</v>
      </c>
      <c r="B726" s="138">
        <v>8.1999999999999993</v>
      </c>
      <c r="C726" s="129">
        <v>0</v>
      </c>
      <c r="D726" s="129">
        <v>0</v>
      </c>
      <c r="E726" s="130">
        <v>45493</v>
      </c>
    </row>
    <row r="727" spans="1:5" ht="24" customHeight="1" x14ac:dyDescent="0.3">
      <c r="A727" s="138" t="s">
        <v>25</v>
      </c>
      <c r="B727" s="138">
        <v>43</v>
      </c>
      <c r="C727" s="129">
        <v>0</v>
      </c>
      <c r="D727" s="129">
        <v>0</v>
      </c>
      <c r="E727" s="130">
        <v>45494</v>
      </c>
    </row>
    <row r="728" spans="1:5" ht="24" customHeight="1" x14ac:dyDescent="0.3">
      <c r="A728" s="138" t="s">
        <v>25</v>
      </c>
      <c r="B728" s="138">
        <v>1.5</v>
      </c>
      <c r="C728" s="129">
        <v>0</v>
      </c>
      <c r="D728" s="129">
        <v>0</v>
      </c>
      <c r="E728" s="130">
        <v>45495</v>
      </c>
    </row>
    <row r="729" spans="1:5" ht="24" customHeight="1" x14ac:dyDescent="0.3">
      <c r="A729" s="138" t="s">
        <v>25</v>
      </c>
      <c r="B729" s="138">
        <v>20</v>
      </c>
      <c r="C729" s="129">
        <v>0</v>
      </c>
      <c r="D729" s="129">
        <v>0</v>
      </c>
      <c r="E729" s="130">
        <v>45496</v>
      </c>
    </row>
    <row r="730" spans="1:5" ht="24" customHeight="1" x14ac:dyDescent="0.3">
      <c r="A730" s="135" t="s">
        <v>28</v>
      </c>
      <c r="B730" s="135">
        <v>10</v>
      </c>
      <c r="C730" s="129">
        <v>0</v>
      </c>
      <c r="D730" s="129">
        <v>0</v>
      </c>
      <c r="E730" s="130">
        <v>45497</v>
      </c>
    </row>
    <row r="731" spans="1:5" ht="24" customHeight="1" x14ac:dyDescent="0.3">
      <c r="A731" s="138" t="s">
        <v>25</v>
      </c>
      <c r="B731" s="138">
        <v>1.5</v>
      </c>
      <c r="C731" s="129">
        <v>0</v>
      </c>
      <c r="D731" s="129">
        <v>0</v>
      </c>
      <c r="E731" s="130">
        <v>45497</v>
      </c>
    </row>
    <row r="732" spans="1:5" ht="24" customHeight="1" x14ac:dyDescent="0.3">
      <c r="A732" s="138" t="s">
        <v>25</v>
      </c>
      <c r="B732" s="138">
        <v>9.5</v>
      </c>
      <c r="C732" s="129">
        <v>0</v>
      </c>
      <c r="D732" s="129">
        <v>0</v>
      </c>
      <c r="E732" s="130">
        <v>45498</v>
      </c>
    </row>
    <row r="733" spans="1:5" ht="24" customHeight="1" x14ac:dyDescent="0.3">
      <c r="A733" s="138" t="s">
        <v>25</v>
      </c>
      <c r="B733" s="138">
        <v>6.5</v>
      </c>
      <c r="C733" s="129">
        <v>0</v>
      </c>
      <c r="D733" s="129">
        <v>0</v>
      </c>
      <c r="E733" s="130">
        <v>45499</v>
      </c>
    </row>
    <row r="734" spans="1:5" ht="24" customHeight="1" x14ac:dyDescent="0.3">
      <c r="A734" s="138" t="s">
        <v>25</v>
      </c>
      <c r="B734" s="138">
        <v>6.5</v>
      </c>
      <c r="C734" s="129">
        <v>0</v>
      </c>
      <c r="D734" s="129">
        <v>0</v>
      </c>
      <c r="E734" s="130">
        <v>45500</v>
      </c>
    </row>
    <row r="735" spans="1:5" ht="24" customHeight="1" x14ac:dyDescent="0.3">
      <c r="A735" s="138" t="s">
        <v>25</v>
      </c>
      <c r="B735" s="138">
        <v>8</v>
      </c>
      <c r="C735" s="129">
        <v>0</v>
      </c>
      <c r="D735" s="129">
        <v>0</v>
      </c>
      <c r="E735" s="130">
        <v>45501</v>
      </c>
    </row>
    <row r="736" spans="1:5" ht="24" customHeight="1" x14ac:dyDescent="0.3">
      <c r="A736" s="135" t="s">
        <v>45</v>
      </c>
      <c r="B736" s="135">
        <v>21</v>
      </c>
      <c r="C736" s="129">
        <v>0</v>
      </c>
      <c r="D736" s="129">
        <v>0</v>
      </c>
      <c r="E736" s="130">
        <v>45502</v>
      </c>
    </row>
    <row r="737" spans="1:5" ht="24" customHeight="1" x14ac:dyDescent="0.3">
      <c r="A737" s="138" t="s">
        <v>25</v>
      </c>
      <c r="B737" s="138">
        <v>30</v>
      </c>
      <c r="C737" s="129">
        <v>0</v>
      </c>
      <c r="D737" s="129">
        <v>0</v>
      </c>
      <c r="E737" s="130">
        <v>45502</v>
      </c>
    </row>
    <row r="738" spans="1:5" ht="24" customHeight="1" x14ac:dyDescent="0.3">
      <c r="A738" s="138" t="s">
        <v>25</v>
      </c>
      <c r="B738" s="138">
        <v>55</v>
      </c>
      <c r="C738" s="129">
        <v>0</v>
      </c>
      <c r="D738" s="129">
        <v>0</v>
      </c>
      <c r="E738" s="130">
        <v>45503</v>
      </c>
    </row>
    <row r="739" spans="1:5" ht="24" customHeight="1" x14ac:dyDescent="0.3">
      <c r="A739" s="138" t="s">
        <v>25</v>
      </c>
      <c r="B739" s="138">
        <v>13</v>
      </c>
      <c r="C739" s="129">
        <v>0</v>
      </c>
      <c r="D739" s="129">
        <v>0</v>
      </c>
      <c r="E739" s="130">
        <v>45504</v>
      </c>
    </row>
    <row r="740" spans="1:5" ht="24" customHeight="1" x14ac:dyDescent="0.3">
      <c r="A740" s="138" t="s">
        <v>25</v>
      </c>
      <c r="B740" s="138">
        <v>8</v>
      </c>
      <c r="C740" s="129">
        <v>0</v>
      </c>
      <c r="D740" s="129">
        <v>0</v>
      </c>
      <c r="E740" s="130">
        <v>45505</v>
      </c>
    </row>
    <row r="741" spans="1:5" ht="24" customHeight="1" x14ac:dyDescent="0.3">
      <c r="A741" s="135" t="s">
        <v>28</v>
      </c>
      <c r="B741" s="135">
        <v>20</v>
      </c>
      <c r="C741" s="129">
        <v>0</v>
      </c>
      <c r="D741" s="129">
        <v>0</v>
      </c>
      <c r="E741" s="130">
        <v>45506</v>
      </c>
    </row>
    <row r="742" spans="1:5" ht="24" customHeight="1" x14ac:dyDescent="0.3">
      <c r="A742" s="138" t="s">
        <v>25</v>
      </c>
      <c r="B742" s="138">
        <v>9.5</v>
      </c>
      <c r="C742" s="129">
        <v>0</v>
      </c>
      <c r="D742" s="129">
        <v>0</v>
      </c>
      <c r="E742" s="130">
        <v>45506</v>
      </c>
    </row>
    <row r="743" spans="1:5" ht="24" customHeight="1" x14ac:dyDescent="0.3">
      <c r="A743" s="135" t="s">
        <v>45</v>
      </c>
      <c r="B743" s="135">
        <v>36</v>
      </c>
      <c r="C743" s="129">
        <v>0</v>
      </c>
      <c r="D743" s="129">
        <v>0</v>
      </c>
      <c r="E743" s="130">
        <v>45507</v>
      </c>
    </row>
    <row r="744" spans="1:5" ht="24" customHeight="1" x14ac:dyDescent="0.3">
      <c r="A744" s="138" t="s">
        <v>112</v>
      </c>
      <c r="B744" s="138">
        <v>0</v>
      </c>
      <c r="C744" s="129">
        <v>0</v>
      </c>
      <c r="D744" s="129">
        <v>0</v>
      </c>
      <c r="E744" s="130">
        <v>45507</v>
      </c>
    </row>
    <row r="745" spans="1:5" ht="24" customHeight="1" x14ac:dyDescent="0.3">
      <c r="A745" s="138" t="s">
        <v>112</v>
      </c>
      <c r="B745" s="138">
        <v>0</v>
      </c>
      <c r="C745" s="129">
        <v>0</v>
      </c>
      <c r="D745" s="129">
        <v>0</v>
      </c>
      <c r="E745" s="130">
        <v>45508</v>
      </c>
    </row>
    <row r="746" spans="1:5" ht="24" customHeight="1" x14ac:dyDescent="0.3">
      <c r="A746" s="138" t="s">
        <v>25</v>
      </c>
      <c r="B746" s="138">
        <v>41</v>
      </c>
      <c r="C746" s="129">
        <v>0</v>
      </c>
      <c r="D746" s="129">
        <v>0</v>
      </c>
      <c r="E746" s="130">
        <v>45509</v>
      </c>
    </row>
    <row r="747" spans="1:5" ht="24" customHeight="1" x14ac:dyDescent="0.3">
      <c r="A747" s="135" t="s">
        <v>45</v>
      </c>
      <c r="B747" s="135">
        <v>90</v>
      </c>
      <c r="C747" s="129">
        <v>0</v>
      </c>
      <c r="D747" s="129">
        <v>0</v>
      </c>
      <c r="E747" s="130">
        <v>45510</v>
      </c>
    </row>
    <row r="748" spans="1:5" ht="24" customHeight="1" x14ac:dyDescent="0.3">
      <c r="A748" s="138" t="s">
        <v>25</v>
      </c>
      <c r="B748" s="138">
        <v>65</v>
      </c>
      <c r="C748" s="129">
        <v>0</v>
      </c>
      <c r="D748" s="129">
        <v>0</v>
      </c>
      <c r="E748" s="130">
        <v>45510</v>
      </c>
    </row>
    <row r="749" spans="1:5" ht="24" customHeight="1" x14ac:dyDescent="0.3">
      <c r="A749" s="135" t="s">
        <v>28</v>
      </c>
      <c r="B749" s="135">
        <v>10</v>
      </c>
      <c r="C749" s="129">
        <v>0</v>
      </c>
      <c r="D749" s="129">
        <v>0</v>
      </c>
      <c r="E749" s="130">
        <v>45511</v>
      </c>
    </row>
    <row r="750" spans="1:5" ht="24" customHeight="1" x14ac:dyDescent="0.3">
      <c r="A750" s="138" t="s">
        <v>112</v>
      </c>
      <c r="B750" s="138">
        <v>0</v>
      </c>
      <c r="C750" s="129">
        <v>0</v>
      </c>
      <c r="D750" s="129">
        <v>0</v>
      </c>
      <c r="E750" s="130">
        <v>45511</v>
      </c>
    </row>
    <row r="751" spans="1:5" ht="24" customHeight="1" x14ac:dyDescent="0.3">
      <c r="A751" s="138" t="s">
        <v>112</v>
      </c>
      <c r="B751" s="138">
        <v>0</v>
      </c>
      <c r="C751" s="129">
        <v>0</v>
      </c>
      <c r="D751" s="129">
        <v>0</v>
      </c>
      <c r="E751" s="130">
        <v>45512</v>
      </c>
    </row>
    <row r="752" spans="1:5" ht="24" customHeight="1" x14ac:dyDescent="0.3">
      <c r="A752" s="138" t="s">
        <v>25</v>
      </c>
      <c r="B752" s="138">
        <v>6.5</v>
      </c>
      <c r="C752" s="129">
        <v>0</v>
      </c>
      <c r="D752" s="129">
        <v>0</v>
      </c>
      <c r="E752" s="130">
        <v>45513</v>
      </c>
    </row>
    <row r="753" spans="1:5" ht="24" customHeight="1" x14ac:dyDescent="0.3">
      <c r="A753" s="138" t="s">
        <v>25</v>
      </c>
      <c r="B753" s="138">
        <v>8</v>
      </c>
      <c r="C753" s="129">
        <v>0</v>
      </c>
      <c r="D753" s="129">
        <v>0</v>
      </c>
      <c r="E753" s="130">
        <v>45514</v>
      </c>
    </row>
    <row r="754" spans="1:5" ht="24" customHeight="1" x14ac:dyDescent="0.3">
      <c r="A754" s="138" t="s">
        <v>112</v>
      </c>
      <c r="B754" s="138">
        <v>0</v>
      </c>
      <c r="C754" s="129">
        <v>0</v>
      </c>
      <c r="D754" s="129">
        <v>0</v>
      </c>
      <c r="E754" s="130">
        <v>45515</v>
      </c>
    </row>
    <row r="755" spans="1:5" ht="24" customHeight="1" x14ac:dyDescent="0.3">
      <c r="A755" s="138" t="s">
        <v>25</v>
      </c>
      <c r="B755" s="138">
        <v>8</v>
      </c>
      <c r="C755" s="129">
        <v>0</v>
      </c>
      <c r="D755" s="129">
        <v>0</v>
      </c>
      <c r="E755" s="130">
        <v>45516</v>
      </c>
    </row>
    <row r="756" spans="1:5" ht="24" customHeight="1" x14ac:dyDescent="0.3">
      <c r="A756" s="138" t="s">
        <v>25</v>
      </c>
      <c r="B756" s="138">
        <v>20</v>
      </c>
      <c r="C756" s="129">
        <v>0</v>
      </c>
      <c r="D756" s="129">
        <v>0</v>
      </c>
      <c r="E756" s="130">
        <v>45517</v>
      </c>
    </row>
    <row r="757" spans="1:5" ht="24" customHeight="1" x14ac:dyDescent="0.3">
      <c r="A757" s="135" t="s">
        <v>45</v>
      </c>
      <c r="B757" s="135">
        <v>1184</v>
      </c>
      <c r="C757" s="129">
        <v>0</v>
      </c>
      <c r="D757" s="129">
        <v>0</v>
      </c>
      <c r="E757" s="130">
        <v>45518</v>
      </c>
    </row>
    <row r="758" spans="1:5" ht="24" customHeight="1" x14ac:dyDescent="0.3">
      <c r="A758" s="138" t="s">
        <v>25</v>
      </c>
      <c r="B758" s="138">
        <v>7</v>
      </c>
      <c r="C758" s="129">
        <v>0</v>
      </c>
      <c r="D758" s="129">
        <v>0</v>
      </c>
      <c r="E758" s="130">
        <v>45518</v>
      </c>
    </row>
    <row r="759" spans="1:5" ht="24" customHeight="1" x14ac:dyDescent="0.3">
      <c r="A759" s="138" t="s">
        <v>25</v>
      </c>
      <c r="B759" s="138">
        <v>4.5</v>
      </c>
      <c r="C759" s="129">
        <v>0</v>
      </c>
      <c r="D759" s="129">
        <v>0</v>
      </c>
      <c r="E759" s="130">
        <v>45519</v>
      </c>
    </row>
    <row r="760" spans="1:5" ht="24" customHeight="1" x14ac:dyDescent="0.3">
      <c r="A760" s="138" t="s">
        <v>25</v>
      </c>
      <c r="B760" s="138">
        <v>6.6</v>
      </c>
      <c r="C760" s="129">
        <v>0</v>
      </c>
      <c r="D760" s="129">
        <v>0</v>
      </c>
      <c r="E760" s="130">
        <v>45520</v>
      </c>
    </row>
    <row r="761" spans="1:5" ht="24" customHeight="1" x14ac:dyDescent="0.3">
      <c r="A761" s="135" t="s">
        <v>45</v>
      </c>
      <c r="B761" s="135">
        <v>36</v>
      </c>
      <c r="C761" s="129">
        <v>0</v>
      </c>
      <c r="D761" s="129">
        <v>0</v>
      </c>
      <c r="E761" s="130">
        <v>45521</v>
      </c>
    </row>
    <row r="762" spans="1:5" ht="24" customHeight="1" x14ac:dyDescent="0.3">
      <c r="A762" s="138" t="s">
        <v>112</v>
      </c>
      <c r="B762" s="138">
        <v>0</v>
      </c>
      <c r="C762" s="129">
        <v>0</v>
      </c>
      <c r="D762" s="129">
        <v>0</v>
      </c>
      <c r="E762" s="130">
        <v>45521</v>
      </c>
    </row>
    <row r="763" spans="1:5" ht="24" customHeight="1" x14ac:dyDescent="0.3">
      <c r="A763" s="138" t="s">
        <v>25</v>
      </c>
      <c r="B763" s="138">
        <v>11</v>
      </c>
      <c r="C763" s="129">
        <v>0</v>
      </c>
      <c r="D763" s="129">
        <v>0</v>
      </c>
      <c r="E763" s="130">
        <v>45522</v>
      </c>
    </row>
    <row r="764" spans="1:5" ht="24" customHeight="1" x14ac:dyDescent="0.3">
      <c r="A764" s="138" t="s">
        <v>25</v>
      </c>
      <c r="B764" s="138">
        <v>32</v>
      </c>
      <c r="C764" s="129">
        <v>0</v>
      </c>
      <c r="D764" s="129">
        <v>0</v>
      </c>
      <c r="E764" s="130">
        <v>45523</v>
      </c>
    </row>
    <row r="765" spans="1:5" ht="24" customHeight="1" x14ac:dyDescent="0.3">
      <c r="A765" s="138" t="s">
        <v>25</v>
      </c>
      <c r="B765" s="138">
        <v>21</v>
      </c>
      <c r="C765" s="129">
        <v>0</v>
      </c>
      <c r="D765" s="129">
        <v>0</v>
      </c>
      <c r="E765" s="130">
        <v>45524</v>
      </c>
    </row>
    <row r="766" spans="1:5" ht="24" customHeight="1" x14ac:dyDescent="0.3">
      <c r="A766" s="135" t="s">
        <v>28</v>
      </c>
      <c r="B766" s="135">
        <v>10</v>
      </c>
      <c r="C766" s="129">
        <v>0</v>
      </c>
      <c r="D766" s="129">
        <v>0</v>
      </c>
      <c r="E766" s="130">
        <v>45525</v>
      </c>
    </row>
    <row r="767" spans="1:5" ht="24" customHeight="1" x14ac:dyDescent="0.3">
      <c r="A767" s="138" t="s">
        <v>112</v>
      </c>
      <c r="B767" s="138">
        <v>0</v>
      </c>
      <c r="C767" s="129">
        <v>0</v>
      </c>
      <c r="D767" s="129">
        <v>0</v>
      </c>
      <c r="E767" s="130">
        <v>45525</v>
      </c>
    </row>
    <row r="768" spans="1:5" ht="24" customHeight="1" x14ac:dyDescent="0.3">
      <c r="A768" s="138" t="s">
        <v>25</v>
      </c>
      <c r="B768" s="138">
        <v>20</v>
      </c>
      <c r="C768" s="129">
        <v>0</v>
      </c>
      <c r="D768" s="129">
        <v>0</v>
      </c>
      <c r="E768" s="130">
        <v>45526</v>
      </c>
    </row>
    <row r="769" spans="1:5" ht="24" customHeight="1" x14ac:dyDescent="0.3">
      <c r="A769" s="138" t="s">
        <v>25</v>
      </c>
      <c r="B769" s="138">
        <v>36</v>
      </c>
      <c r="C769" s="129">
        <v>0</v>
      </c>
      <c r="D769" s="129">
        <v>0</v>
      </c>
      <c r="E769" s="130">
        <v>45527</v>
      </c>
    </row>
    <row r="770" spans="1:5" ht="24" customHeight="1" x14ac:dyDescent="0.3">
      <c r="A770" s="138" t="s">
        <v>25</v>
      </c>
      <c r="B770" s="138">
        <v>28</v>
      </c>
      <c r="C770" s="129">
        <v>0</v>
      </c>
      <c r="D770" s="129">
        <v>0</v>
      </c>
      <c r="E770" s="130">
        <v>45528</v>
      </c>
    </row>
    <row r="771" spans="1:5" ht="24" customHeight="1" x14ac:dyDescent="0.3">
      <c r="A771" s="138" t="s">
        <v>25</v>
      </c>
      <c r="B771" s="138">
        <v>5</v>
      </c>
      <c r="C771" s="129">
        <v>0</v>
      </c>
      <c r="D771" s="129">
        <v>0</v>
      </c>
      <c r="E771" s="130">
        <v>45529</v>
      </c>
    </row>
    <row r="772" spans="1:5" ht="24" customHeight="1" x14ac:dyDescent="0.3">
      <c r="A772" s="135" t="s">
        <v>45</v>
      </c>
      <c r="B772" s="135">
        <v>30</v>
      </c>
      <c r="C772" s="129">
        <v>0</v>
      </c>
      <c r="D772" s="129">
        <v>0</v>
      </c>
      <c r="E772" s="130">
        <v>45530</v>
      </c>
    </row>
    <row r="773" spans="1:5" ht="24" customHeight="1" x14ac:dyDescent="0.3">
      <c r="A773" s="138" t="s">
        <v>25</v>
      </c>
      <c r="B773" s="138">
        <v>44</v>
      </c>
      <c r="C773" s="129">
        <v>0</v>
      </c>
      <c r="D773" s="129">
        <v>0</v>
      </c>
      <c r="E773" s="130">
        <v>45530</v>
      </c>
    </row>
    <row r="774" spans="1:5" ht="24" customHeight="1" x14ac:dyDescent="0.3">
      <c r="A774" s="138" t="s">
        <v>25</v>
      </c>
      <c r="B774" s="138">
        <v>10</v>
      </c>
      <c r="C774" s="129">
        <v>0</v>
      </c>
      <c r="D774" s="129">
        <v>0</v>
      </c>
      <c r="E774" s="130">
        <v>45531</v>
      </c>
    </row>
    <row r="775" spans="1:5" ht="24" customHeight="1" x14ac:dyDescent="0.3">
      <c r="A775" s="138" t="s">
        <v>25</v>
      </c>
      <c r="B775" s="138">
        <v>11</v>
      </c>
      <c r="C775" s="129">
        <v>0</v>
      </c>
      <c r="D775" s="129">
        <v>0</v>
      </c>
      <c r="E775" s="130">
        <v>45532</v>
      </c>
    </row>
    <row r="776" spans="1:5" ht="24" customHeight="1" x14ac:dyDescent="0.3">
      <c r="A776" s="138" t="s">
        <v>25</v>
      </c>
      <c r="B776" s="138">
        <v>6.5</v>
      </c>
      <c r="C776" s="129">
        <v>0</v>
      </c>
      <c r="D776" s="129">
        <v>0</v>
      </c>
      <c r="E776" s="130">
        <v>45533</v>
      </c>
    </row>
    <row r="777" spans="1:5" ht="24" customHeight="1" x14ac:dyDescent="0.3">
      <c r="A777" s="135" t="s">
        <v>45</v>
      </c>
      <c r="B777" s="135">
        <v>35</v>
      </c>
      <c r="C777" s="129">
        <v>0</v>
      </c>
      <c r="D777" s="129">
        <v>0</v>
      </c>
      <c r="E777" s="130">
        <v>45534</v>
      </c>
    </row>
    <row r="778" spans="1:5" ht="24" customHeight="1" x14ac:dyDescent="0.3">
      <c r="A778" s="138" t="s">
        <v>25</v>
      </c>
      <c r="B778" s="138">
        <v>40</v>
      </c>
      <c r="C778" s="129">
        <v>0</v>
      </c>
      <c r="D778" s="129">
        <v>0</v>
      </c>
      <c r="E778" s="130">
        <v>45534</v>
      </c>
    </row>
    <row r="779" spans="1:5" ht="24" customHeight="1" x14ac:dyDescent="0.3">
      <c r="A779" s="135" t="s">
        <v>103</v>
      </c>
      <c r="B779" s="135">
        <v>41</v>
      </c>
      <c r="C779" s="129">
        <v>0</v>
      </c>
      <c r="D779" s="129">
        <v>0</v>
      </c>
      <c r="E779" s="130">
        <v>45535</v>
      </c>
    </row>
    <row r="780" spans="1:5" ht="24" customHeight="1" x14ac:dyDescent="0.3">
      <c r="A780" s="138" t="s">
        <v>25</v>
      </c>
      <c r="B780" s="138">
        <v>5</v>
      </c>
      <c r="C780" s="129">
        <v>0</v>
      </c>
      <c r="D780" s="129">
        <v>0</v>
      </c>
      <c r="E780" s="130">
        <v>45535</v>
      </c>
    </row>
    <row r="781" spans="1:5" ht="24" customHeight="1" x14ac:dyDescent="0.3">
      <c r="A781" s="138" t="s">
        <v>25</v>
      </c>
      <c r="B781" s="138">
        <v>6.5</v>
      </c>
      <c r="C781" s="129">
        <v>0</v>
      </c>
      <c r="D781" s="129">
        <v>0</v>
      </c>
      <c r="E781" s="130">
        <v>45536</v>
      </c>
    </row>
    <row r="782" spans="1:5" ht="24" customHeight="1" x14ac:dyDescent="0.3">
      <c r="A782" s="138" t="s">
        <v>25</v>
      </c>
      <c r="B782" s="138">
        <v>22</v>
      </c>
      <c r="C782" s="129">
        <v>0</v>
      </c>
      <c r="D782" s="129">
        <v>0</v>
      </c>
      <c r="E782" s="130">
        <v>45537</v>
      </c>
    </row>
    <row r="783" spans="1:5" ht="24" customHeight="1" x14ac:dyDescent="0.3">
      <c r="A783" s="138" t="s">
        <v>25</v>
      </c>
      <c r="B783" s="138">
        <v>14</v>
      </c>
      <c r="C783" s="129">
        <v>0</v>
      </c>
      <c r="D783" s="129">
        <v>0</v>
      </c>
      <c r="E783" s="130">
        <v>45538</v>
      </c>
    </row>
    <row r="784" spans="1:5" ht="24" customHeight="1" x14ac:dyDescent="0.3">
      <c r="A784" s="135" t="s">
        <v>28</v>
      </c>
      <c r="B784" s="135">
        <v>10</v>
      </c>
      <c r="C784" s="129">
        <v>0</v>
      </c>
      <c r="D784" s="129">
        <v>0</v>
      </c>
      <c r="E784" s="130">
        <v>45539</v>
      </c>
    </row>
    <row r="785" spans="1:5" ht="24" customHeight="1" x14ac:dyDescent="0.3">
      <c r="A785" s="138" t="s">
        <v>112</v>
      </c>
      <c r="B785" s="138">
        <v>0</v>
      </c>
      <c r="C785" s="129">
        <v>0</v>
      </c>
      <c r="D785" s="129">
        <v>0</v>
      </c>
      <c r="E785" s="130">
        <v>45539</v>
      </c>
    </row>
    <row r="786" spans="1:5" ht="24" customHeight="1" x14ac:dyDescent="0.3">
      <c r="A786" s="135" t="s">
        <v>45</v>
      </c>
      <c r="B786" s="135">
        <v>12</v>
      </c>
      <c r="C786" s="129">
        <v>0</v>
      </c>
      <c r="D786" s="129">
        <v>0</v>
      </c>
      <c r="E786" s="130">
        <v>45540</v>
      </c>
    </row>
    <row r="787" spans="1:5" ht="24" customHeight="1" x14ac:dyDescent="0.3">
      <c r="A787" s="138" t="s">
        <v>25</v>
      </c>
      <c r="B787" s="138">
        <v>34</v>
      </c>
      <c r="C787" s="129">
        <v>0</v>
      </c>
      <c r="D787" s="129">
        <v>0</v>
      </c>
      <c r="E787" s="130">
        <v>45540</v>
      </c>
    </row>
    <row r="788" spans="1:5" ht="24" customHeight="1" x14ac:dyDescent="0.3">
      <c r="A788" s="138" t="s">
        <v>112</v>
      </c>
      <c r="B788" s="138">
        <v>0</v>
      </c>
      <c r="C788" s="129">
        <v>0</v>
      </c>
      <c r="D788" s="129">
        <v>0</v>
      </c>
      <c r="E788" s="130">
        <v>45541</v>
      </c>
    </row>
    <row r="789" spans="1:5" ht="24" customHeight="1" x14ac:dyDescent="0.3">
      <c r="A789" s="135" t="s">
        <v>45</v>
      </c>
      <c r="B789" s="135">
        <v>61</v>
      </c>
      <c r="C789" s="129">
        <v>0</v>
      </c>
      <c r="D789" s="129">
        <v>0</v>
      </c>
      <c r="E789" s="130">
        <v>45542</v>
      </c>
    </row>
    <row r="790" spans="1:5" ht="24" customHeight="1" x14ac:dyDescent="0.3">
      <c r="A790" s="138" t="s">
        <v>25</v>
      </c>
      <c r="B790" s="138">
        <v>20.7</v>
      </c>
      <c r="C790" s="129">
        <v>0</v>
      </c>
      <c r="D790" s="129">
        <v>0</v>
      </c>
      <c r="E790" s="130">
        <v>45542</v>
      </c>
    </row>
    <row r="791" spans="1:5" ht="24" customHeight="1" x14ac:dyDescent="0.3">
      <c r="A791" s="138" t="s">
        <v>112</v>
      </c>
      <c r="B791" s="138">
        <v>0</v>
      </c>
      <c r="C791" s="129">
        <v>0</v>
      </c>
      <c r="D791" s="129">
        <v>0</v>
      </c>
      <c r="E791" s="130">
        <v>45543</v>
      </c>
    </row>
    <row r="792" spans="1:5" ht="24" customHeight="1" x14ac:dyDescent="0.3">
      <c r="A792" s="138" t="s">
        <v>25</v>
      </c>
      <c r="B792" s="138">
        <v>48</v>
      </c>
      <c r="C792" s="129">
        <v>0</v>
      </c>
      <c r="D792" s="129">
        <v>0</v>
      </c>
      <c r="E792" s="130">
        <v>45544</v>
      </c>
    </row>
    <row r="793" spans="1:5" ht="24" customHeight="1" x14ac:dyDescent="0.3">
      <c r="A793" s="138" t="s">
        <v>112</v>
      </c>
      <c r="B793" s="138">
        <v>0</v>
      </c>
      <c r="C793" s="129">
        <v>0</v>
      </c>
      <c r="D793" s="129">
        <v>0</v>
      </c>
      <c r="E793" s="130">
        <v>45545</v>
      </c>
    </row>
    <row r="794" spans="1:5" ht="24" customHeight="1" x14ac:dyDescent="0.3">
      <c r="A794" s="138" t="s">
        <v>112</v>
      </c>
      <c r="B794" s="138">
        <v>0</v>
      </c>
      <c r="C794" s="129">
        <v>0</v>
      </c>
      <c r="D794" s="129">
        <v>0</v>
      </c>
      <c r="E794" s="139">
        <v>45546</v>
      </c>
    </row>
    <row r="795" spans="1:5" ht="24" customHeight="1" x14ac:dyDescent="0.3">
      <c r="A795" s="138" t="s">
        <v>25</v>
      </c>
      <c r="B795" s="138">
        <v>31</v>
      </c>
      <c r="C795" s="129">
        <v>0</v>
      </c>
      <c r="D795" s="129">
        <v>0</v>
      </c>
      <c r="E795" s="130">
        <v>45547</v>
      </c>
    </row>
    <row r="796" spans="1:5" ht="24" customHeight="1" x14ac:dyDescent="0.3">
      <c r="A796" s="135" t="s">
        <v>45</v>
      </c>
      <c r="B796" s="135">
        <v>35</v>
      </c>
      <c r="C796" s="129">
        <v>0</v>
      </c>
      <c r="D796" s="129">
        <v>0</v>
      </c>
      <c r="E796" s="137">
        <v>45548</v>
      </c>
    </row>
    <row r="797" spans="1:5" ht="24" customHeight="1" x14ac:dyDescent="0.3">
      <c r="A797" s="135" t="s">
        <v>104</v>
      </c>
      <c r="B797" s="135">
        <v>119</v>
      </c>
      <c r="C797" s="129">
        <v>0</v>
      </c>
      <c r="D797" s="129">
        <v>0</v>
      </c>
      <c r="E797" s="130">
        <v>45548</v>
      </c>
    </row>
    <row r="798" spans="1:5" ht="24" customHeight="1" x14ac:dyDescent="0.3">
      <c r="A798" s="138" t="s">
        <v>112</v>
      </c>
      <c r="B798" s="138">
        <v>0</v>
      </c>
      <c r="C798" s="129">
        <v>0</v>
      </c>
      <c r="D798" s="129">
        <v>0</v>
      </c>
      <c r="E798" s="139">
        <v>45548</v>
      </c>
    </row>
    <row r="799" spans="1:5" ht="24" customHeight="1" x14ac:dyDescent="0.3">
      <c r="A799" s="138" t="s">
        <v>25</v>
      </c>
      <c r="B799" s="138">
        <v>9</v>
      </c>
      <c r="C799" s="129">
        <v>0</v>
      </c>
      <c r="D799" s="129">
        <v>0</v>
      </c>
      <c r="E799" s="130">
        <v>45549</v>
      </c>
    </row>
    <row r="800" spans="1:5" ht="24" customHeight="1" x14ac:dyDescent="0.3">
      <c r="A800" s="135" t="s">
        <v>19</v>
      </c>
      <c r="B800" s="135">
        <v>1045</v>
      </c>
      <c r="C800" s="129">
        <v>0</v>
      </c>
      <c r="D800" s="129">
        <v>0</v>
      </c>
      <c r="E800" s="137">
        <v>45550</v>
      </c>
    </row>
    <row r="801" spans="1:5" ht="24" customHeight="1" x14ac:dyDescent="0.3">
      <c r="A801" s="138" t="s">
        <v>25</v>
      </c>
      <c r="B801" s="138">
        <v>19</v>
      </c>
      <c r="C801" s="129">
        <v>0</v>
      </c>
      <c r="D801" s="129">
        <v>0</v>
      </c>
      <c r="E801" s="130">
        <v>45550</v>
      </c>
    </row>
    <row r="802" spans="1:5" ht="24" customHeight="1" x14ac:dyDescent="0.3">
      <c r="A802" s="138" t="s">
        <v>25</v>
      </c>
      <c r="B802" s="138">
        <v>33</v>
      </c>
      <c r="C802" s="129">
        <v>0</v>
      </c>
      <c r="D802" s="129">
        <v>0</v>
      </c>
      <c r="E802" s="137">
        <v>45551</v>
      </c>
    </row>
    <row r="803" spans="1:5" ht="24" customHeight="1" x14ac:dyDescent="0.3">
      <c r="A803" s="138" t="s">
        <v>25</v>
      </c>
      <c r="B803" s="138">
        <v>24.5</v>
      </c>
      <c r="C803" s="129">
        <v>0</v>
      </c>
      <c r="D803" s="129">
        <v>0</v>
      </c>
      <c r="E803" s="130">
        <v>45552</v>
      </c>
    </row>
    <row r="804" spans="1:5" ht="24" customHeight="1" x14ac:dyDescent="0.3">
      <c r="A804" s="138" t="s">
        <v>25</v>
      </c>
      <c r="B804" s="138">
        <v>31</v>
      </c>
      <c r="C804" s="129">
        <v>0</v>
      </c>
      <c r="D804" s="129">
        <v>0</v>
      </c>
      <c r="E804" s="137">
        <v>45553</v>
      </c>
    </row>
    <row r="805" spans="1:5" ht="24" customHeight="1" x14ac:dyDescent="0.3">
      <c r="A805" s="138" t="s">
        <v>25</v>
      </c>
      <c r="B805" s="138">
        <v>29</v>
      </c>
      <c r="C805" s="129">
        <v>0</v>
      </c>
      <c r="D805" s="129">
        <v>0</v>
      </c>
      <c r="E805" s="130">
        <v>45554</v>
      </c>
    </row>
    <row r="806" spans="1:5" ht="24" customHeight="1" x14ac:dyDescent="0.3">
      <c r="A806" s="135" t="s">
        <v>45</v>
      </c>
      <c r="B806" s="135">
        <v>35</v>
      </c>
      <c r="C806" s="129">
        <v>0</v>
      </c>
      <c r="D806" s="129">
        <v>0</v>
      </c>
      <c r="E806" s="137">
        <v>45555</v>
      </c>
    </row>
    <row r="807" spans="1:5" ht="24" customHeight="1" x14ac:dyDescent="0.3">
      <c r="A807" s="138" t="s">
        <v>25</v>
      </c>
      <c r="B807" s="138">
        <v>35</v>
      </c>
      <c r="C807" s="129">
        <v>0</v>
      </c>
      <c r="D807" s="129">
        <v>0</v>
      </c>
      <c r="E807" s="130">
        <v>45555</v>
      </c>
    </row>
    <row r="808" spans="1:5" ht="24" customHeight="1" x14ac:dyDescent="0.3">
      <c r="A808" s="138" t="s">
        <v>25</v>
      </c>
      <c r="B808" s="138">
        <v>20</v>
      </c>
      <c r="C808" s="129">
        <v>0</v>
      </c>
      <c r="D808" s="129">
        <v>0</v>
      </c>
      <c r="E808" s="139">
        <v>45556</v>
      </c>
    </row>
    <row r="809" spans="1:5" ht="24" customHeight="1" x14ac:dyDescent="0.3">
      <c r="A809" s="138" t="s">
        <v>25</v>
      </c>
      <c r="B809" s="138">
        <v>0</v>
      </c>
      <c r="C809" s="129">
        <v>0</v>
      </c>
      <c r="D809" s="129">
        <v>0</v>
      </c>
      <c r="E809" s="130">
        <v>45557</v>
      </c>
    </row>
    <row r="810" spans="1:5" ht="24" customHeight="1" x14ac:dyDescent="0.3">
      <c r="A810" s="138" t="s">
        <v>25</v>
      </c>
      <c r="B810" s="138">
        <v>23</v>
      </c>
      <c r="C810" s="129">
        <v>0</v>
      </c>
      <c r="D810" s="129">
        <v>0</v>
      </c>
      <c r="E810" s="139">
        <v>45558</v>
      </c>
    </row>
    <row r="811" spans="1:5" ht="24" customHeight="1" x14ac:dyDescent="0.3">
      <c r="A811" s="138" t="s">
        <v>25</v>
      </c>
      <c r="B811" s="138">
        <v>28</v>
      </c>
      <c r="C811" s="129">
        <v>0</v>
      </c>
      <c r="D811" s="129">
        <v>0</v>
      </c>
      <c r="E811" s="130">
        <v>45559</v>
      </c>
    </row>
    <row r="812" spans="1:5" ht="24" customHeight="1" x14ac:dyDescent="0.3">
      <c r="A812" s="135" t="s">
        <v>28</v>
      </c>
      <c r="B812" s="135">
        <v>10</v>
      </c>
      <c r="C812" s="129">
        <v>0</v>
      </c>
      <c r="D812" s="129">
        <v>0</v>
      </c>
      <c r="E812" s="137">
        <v>45560</v>
      </c>
    </row>
    <row r="813" spans="1:5" ht="24" customHeight="1" x14ac:dyDescent="0.3">
      <c r="A813" s="138" t="s">
        <v>112</v>
      </c>
      <c r="B813" s="138">
        <v>0</v>
      </c>
      <c r="C813" s="129">
        <v>0</v>
      </c>
      <c r="D813" s="129">
        <v>0</v>
      </c>
      <c r="E813" s="130">
        <v>45560</v>
      </c>
    </row>
    <row r="814" spans="1:5" ht="24" customHeight="1" x14ac:dyDescent="0.3">
      <c r="A814" s="138" t="s">
        <v>25</v>
      </c>
      <c r="B814" s="138">
        <v>19</v>
      </c>
      <c r="C814" s="129">
        <v>0</v>
      </c>
      <c r="D814" s="129">
        <v>0</v>
      </c>
      <c r="E814" s="137">
        <v>45561</v>
      </c>
    </row>
    <row r="815" spans="1:5" ht="24" customHeight="1" x14ac:dyDescent="0.3">
      <c r="A815" s="135" t="s">
        <v>45</v>
      </c>
      <c r="B815" s="135">
        <v>19</v>
      </c>
      <c r="C815" s="129">
        <v>0</v>
      </c>
      <c r="D815" s="129">
        <v>0</v>
      </c>
      <c r="E815" s="130">
        <v>45562</v>
      </c>
    </row>
    <row r="816" spans="1:5" ht="24" customHeight="1" x14ac:dyDescent="0.3">
      <c r="A816" s="135" t="s">
        <v>45</v>
      </c>
      <c r="B816" s="135">
        <v>12</v>
      </c>
      <c r="C816" s="129">
        <v>0</v>
      </c>
      <c r="D816" s="129">
        <v>0</v>
      </c>
      <c r="E816" s="137">
        <v>45562</v>
      </c>
    </row>
    <row r="817" spans="1:5" ht="24" customHeight="1" x14ac:dyDescent="0.3">
      <c r="A817" s="138" t="s">
        <v>112</v>
      </c>
      <c r="B817" s="138">
        <v>0</v>
      </c>
      <c r="C817" s="129">
        <v>0</v>
      </c>
      <c r="D817" s="129">
        <v>0</v>
      </c>
      <c r="E817" s="130">
        <v>45562</v>
      </c>
    </row>
    <row r="818" spans="1:5" ht="24" customHeight="1" x14ac:dyDescent="0.3">
      <c r="A818" s="138" t="s">
        <v>25</v>
      </c>
      <c r="B818" s="138">
        <v>5</v>
      </c>
      <c r="C818" s="129">
        <v>0</v>
      </c>
      <c r="D818" s="129">
        <v>0</v>
      </c>
      <c r="E818" s="137">
        <v>45563</v>
      </c>
    </row>
    <row r="819" spans="1:5" ht="24" customHeight="1" x14ac:dyDescent="0.3">
      <c r="A819" s="138" t="s">
        <v>25</v>
      </c>
      <c r="B819" s="138">
        <v>5</v>
      </c>
      <c r="C819" s="129">
        <v>0</v>
      </c>
      <c r="D819" s="129">
        <v>0</v>
      </c>
      <c r="E819" s="130">
        <v>45564</v>
      </c>
    </row>
    <row r="820" spans="1:5" ht="24" customHeight="1" x14ac:dyDescent="0.3">
      <c r="A820" s="138" t="s">
        <v>25</v>
      </c>
      <c r="B820" s="138">
        <v>37</v>
      </c>
      <c r="C820" s="129">
        <v>0</v>
      </c>
      <c r="D820" s="129">
        <v>0</v>
      </c>
      <c r="E820" s="137">
        <v>45565</v>
      </c>
    </row>
    <row r="821" spans="1:5" ht="24" customHeight="1" x14ac:dyDescent="0.3">
      <c r="A821" s="135" t="s">
        <v>28</v>
      </c>
      <c r="B821" s="135">
        <v>20</v>
      </c>
      <c r="C821" s="129">
        <v>0</v>
      </c>
      <c r="D821" s="129">
        <v>0</v>
      </c>
      <c r="E821" s="130">
        <v>45566</v>
      </c>
    </row>
    <row r="822" spans="1:5" ht="24" customHeight="1" x14ac:dyDescent="0.3">
      <c r="A822" s="138" t="s">
        <v>25</v>
      </c>
      <c r="B822" s="138">
        <v>38</v>
      </c>
      <c r="C822" s="129">
        <v>0</v>
      </c>
      <c r="D822" s="129">
        <v>0</v>
      </c>
      <c r="E822" s="139">
        <v>45566</v>
      </c>
    </row>
    <row r="823" spans="1:5" ht="24" customHeight="1" x14ac:dyDescent="0.3">
      <c r="A823" s="138" t="s">
        <v>25</v>
      </c>
      <c r="B823" s="138">
        <v>55</v>
      </c>
      <c r="C823" s="129">
        <v>0</v>
      </c>
      <c r="D823" s="129">
        <v>0</v>
      </c>
      <c r="E823" s="130">
        <v>45567</v>
      </c>
    </row>
    <row r="824" spans="1:5" ht="24" customHeight="1" x14ac:dyDescent="0.3">
      <c r="A824" s="135" t="s">
        <v>45</v>
      </c>
      <c r="B824" s="135">
        <v>4</v>
      </c>
      <c r="C824" s="129">
        <v>0</v>
      </c>
      <c r="D824" s="129">
        <v>0</v>
      </c>
      <c r="E824" s="137">
        <v>45568</v>
      </c>
    </row>
    <row r="825" spans="1:5" ht="24" customHeight="1" x14ac:dyDescent="0.3">
      <c r="A825" s="138" t="s">
        <v>25</v>
      </c>
      <c r="B825" s="138">
        <v>15</v>
      </c>
      <c r="C825" s="129">
        <v>0</v>
      </c>
      <c r="D825" s="129">
        <v>0</v>
      </c>
      <c r="E825" s="130">
        <v>45568</v>
      </c>
    </row>
    <row r="826" spans="1:5" ht="24" customHeight="1" x14ac:dyDescent="0.3">
      <c r="A826" s="138" t="s">
        <v>25</v>
      </c>
      <c r="B826" s="138">
        <v>8.5</v>
      </c>
      <c r="C826" s="129">
        <v>0</v>
      </c>
      <c r="D826" s="129">
        <v>0</v>
      </c>
      <c r="E826" s="137">
        <v>45569</v>
      </c>
    </row>
    <row r="827" spans="1:5" ht="24" customHeight="1" x14ac:dyDescent="0.3">
      <c r="A827" s="138" t="s">
        <v>25</v>
      </c>
      <c r="B827" s="138">
        <v>40</v>
      </c>
      <c r="C827" s="129">
        <v>0</v>
      </c>
      <c r="D827" s="129">
        <v>0</v>
      </c>
      <c r="E827" s="130">
        <v>45570</v>
      </c>
    </row>
    <row r="828" spans="1:5" ht="24" customHeight="1" x14ac:dyDescent="0.3">
      <c r="A828" s="138" t="s">
        <v>25</v>
      </c>
      <c r="B828" s="138">
        <v>5</v>
      </c>
      <c r="C828" s="129">
        <v>0</v>
      </c>
      <c r="D828" s="129">
        <v>0</v>
      </c>
      <c r="E828" s="137">
        <v>45571</v>
      </c>
    </row>
    <row r="829" spans="1:5" ht="24" customHeight="1" x14ac:dyDescent="0.3">
      <c r="A829" s="138" t="s">
        <v>25</v>
      </c>
      <c r="B829" s="138">
        <v>23</v>
      </c>
      <c r="C829" s="129">
        <v>0</v>
      </c>
      <c r="D829" s="129">
        <v>0</v>
      </c>
      <c r="E829" s="130">
        <v>45572</v>
      </c>
    </row>
    <row r="830" spans="1:5" ht="24" customHeight="1" x14ac:dyDescent="0.3">
      <c r="A830" s="135" t="s">
        <v>45</v>
      </c>
      <c r="B830" s="135">
        <v>250</v>
      </c>
      <c r="C830" s="129">
        <v>0</v>
      </c>
      <c r="D830" s="129">
        <v>0</v>
      </c>
      <c r="E830" s="137">
        <v>45573</v>
      </c>
    </row>
    <row r="831" spans="1:5" ht="24" customHeight="1" x14ac:dyDescent="0.3">
      <c r="A831" s="138" t="s">
        <v>25</v>
      </c>
      <c r="B831" s="138">
        <v>14.5</v>
      </c>
      <c r="C831" s="129">
        <v>0</v>
      </c>
      <c r="D831" s="129">
        <v>0</v>
      </c>
      <c r="E831" s="137">
        <v>45573</v>
      </c>
    </row>
    <row r="832" spans="1:5" ht="24" customHeight="1" x14ac:dyDescent="0.3">
      <c r="A832" s="138" t="s">
        <v>25</v>
      </c>
      <c r="B832" s="138">
        <v>6</v>
      </c>
      <c r="C832" s="129">
        <v>0</v>
      </c>
      <c r="D832" s="129">
        <v>0</v>
      </c>
      <c r="E832" s="130">
        <v>45574</v>
      </c>
    </row>
    <row r="833" spans="1:5" ht="24" customHeight="1" x14ac:dyDescent="0.3">
      <c r="A833" s="138" t="s">
        <v>25</v>
      </c>
      <c r="B833" s="138">
        <v>14</v>
      </c>
      <c r="C833" s="129">
        <v>0</v>
      </c>
      <c r="D833" s="129">
        <v>0</v>
      </c>
      <c r="E833" s="137">
        <v>45575</v>
      </c>
    </row>
    <row r="834" spans="1:5" ht="24" customHeight="1" x14ac:dyDescent="0.3">
      <c r="A834" s="138" t="s">
        <v>25</v>
      </c>
      <c r="B834" s="138">
        <v>23</v>
      </c>
      <c r="C834" s="129">
        <v>0</v>
      </c>
      <c r="D834" s="129">
        <v>0</v>
      </c>
      <c r="E834" s="130">
        <v>45576</v>
      </c>
    </row>
    <row r="835" spans="1:5" ht="24" customHeight="1" x14ac:dyDescent="0.3">
      <c r="A835" s="138" t="s">
        <v>25</v>
      </c>
      <c r="B835" s="138">
        <v>13.5</v>
      </c>
      <c r="C835" s="129">
        <v>0</v>
      </c>
      <c r="D835" s="129">
        <v>0</v>
      </c>
      <c r="E835" s="137">
        <v>45577</v>
      </c>
    </row>
    <row r="836" spans="1:5" ht="24" customHeight="1" x14ac:dyDescent="0.3">
      <c r="A836" s="135" t="s">
        <v>104</v>
      </c>
      <c r="B836" s="135">
        <v>119</v>
      </c>
      <c r="C836" s="129">
        <v>0</v>
      </c>
      <c r="D836" s="129">
        <v>0</v>
      </c>
      <c r="E836" s="130">
        <v>45578</v>
      </c>
    </row>
    <row r="837" spans="1:5" ht="24" customHeight="1" x14ac:dyDescent="0.3">
      <c r="A837" s="138" t="s">
        <v>25</v>
      </c>
      <c r="B837" s="138">
        <v>8.6999999999999993</v>
      </c>
      <c r="C837" s="129">
        <v>0</v>
      </c>
      <c r="D837" s="129">
        <v>0</v>
      </c>
      <c r="E837" s="139">
        <v>45578</v>
      </c>
    </row>
    <row r="838" spans="1:5" ht="24" customHeight="1" x14ac:dyDescent="0.3">
      <c r="A838" s="135" t="s">
        <v>19</v>
      </c>
      <c r="B838" s="135">
        <v>1046</v>
      </c>
      <c r="C838" s="129">
        <v>0</v>
      </c>
      <c r="D838" s="129">
        <v>0</v>
      </c>
      <c r="E838" s="130">
        <v>45579</v>
      </c>
    </row>
    <row r="839" spans="1:5" ht="24" customHeight="1" x14ac:dyDescent="0.3">
      <c r="A839" s="138" t="s">
        <v>25</v>
      </c>
      <c r="B839" s="138">
        <v>24</v>
      </c>
      <c r="C839" s="129">
        <v>0</v>
      </c>
      <c r="D839" s="129">
        <v>0</v>
      </c>
      <c r="E839" s="137">
        <v>45579</v>
      </c>
    </row>
    <row r="840" spans="1:5" ht="24" customHeight="1" x14ac:dyDescent="0.3">
      <c r="A840" s="138" t="s">
        <v>25</v>
      </c>
      <c r="B840" s="138">
        <v>17</v>
      </c>
      <c r="C840" s="129">
        <v>0</v>
      </c>
      <c r="D840" s="129">
        <v>0</v>
      </c>
      <c r="E840" s="130">
        <v>45580</v>
      </c>
    </row>
    <row r="841" spans="1:5" ht="24" customHeight="1" x14ac:dyDescent="0.3">
      <c r="A841" s="138" t="s">
        <v>25</v>
      </c>
      <c r="B841" s="138">
        <v>50</v>
      </c>
      <c r="C841" s="129">
        <v>0</v>
      </c>
      <c r="D841" s="129">
        <v>0</v>
      </c>
      <c r="E841" s="137">
        <v>45581</v>
      </c>
    </row>
    <row r="842" spans="1:5" ht="24" customHeight="1" x14ac:dyDescent="0.3">
      <c r="A842" s="135" t="s">
        <v>28</v>
      </c>
      <c r="B842" s="135">
        <v>10</v>
      </c>
      <c r="C842" s="129">
        <v>0</v>
      </c>
      <c r="D842" s="129">
        <v>0</v>
      </c>
      <c r="E842" s="130">
        <v>45582</v>
      </c>
    </row>
    <row r="843" spans="1:5" ht="24" customHeight="1" x14ac:dyDescent="0.3">
      <c r="A843" s="138" t="s">
        <v>25</v>
      </c>
      <c r="B843" s="138">
        <v>30</v>
      </c>
      <c r="C843" s="129">
        <v>0</v>
      </c>
      <c r="D843" s="129">
        <v>0</v>
      </c>
      <c r="E843" s="139">
        <v>45582</v>
      </c>
    </row>
    <row r="844" spans="1:5" ht="24" customHeight="1" x14ac:dyDescent="0.3">
      <c r="A844" s="138" t="s">
        <v>25</v>
      </c>
      <c r="B844" s="138">
        <v>0</v>
      </c>
      <c r="C844" s="129">
        <v>0</v>
      </c>
      <c r="D844" s="129">
        <v>0</v>
      </c>
      <c r="E844" s="130">
        <v>45583</v>
      </c>
    </row>
    <row r="845" spans="1:5" ht="24" customHeight="1" x14ac:dyDescent="0.3">
      <c r="A845" s="138" t="s">
        <v>25</v>
      </c>
      <c r="B845" s="138">
        <v>13</v>
      </c>
      <c r="C845" s="129">
        <v>0</v>
      </c>
      <c r="D845" s="129">
        <v>0</v>
      </c>
      <c r="E845" s="139">
        <v>45584</v>
      </c>
    </row>
    <row r="846" spans="1:5" ht="24" customHeight="1" x14ac:dyDescent="0.3">
      <c r="A846" s="138" t="s">
        <v>25</v>
      </c>
      <c r="B846" s="138">
        <v>51</v>
      </c>
      <c r="C846" s="129">
        <v>0</v>
      </c>
      <c r="D846" s="129">
        <v>0</v>
      </c>
      <c r="E846" s="130">
        <v>45585</v>
      </c>
    </row>
    <row r="847" spans="1:5" ht="24" customHeight="1" x14ac:dyDescent="0.3">
      <c r="A847" s="138" t="s">
        <v>25</v>
      </c>
      <c r="B847" s="138">
        <v>5.5</v>
      </c>
      <c r="C847" s="129">
        <v>0</v>
      </c>
      <c r="D847" s="129">
        <v>0</v>
      </c>
      <c r="E847" s="139">
        <v>45586</v>
      </c>
    </row>
    <row r="848" spans="1:5" ht="24" customHeight="1" x14ac:dyDescent="0.3">
      <c r="A848" s="135" t="s">
        <v>45</v>
      </c>
      <c r="B848" s="135">
        <v>85.5</v>
      </c>
      <c r="C848" s="129">
        <v>0</v>
      </c>
      <c r="D848" s="129">
        <v>0</v>
      </c>
      <c r="E848" s="130">
        <v>45587</v>
      </c>
    </row>
    <row r="849" spans="1:5" ht="24" customHeight="1" x14ac:dyDescent="0.3">
      <c r="A849" s="138" t="s">
        <v>25</v>
      </c>
      <c r="B849" s="138">
        <v>12.4</v>
      </c>
      <c r="C849" s="129">
        <v>0</v>
      </c>
      <c r="D849" s="129">
        <v>0</v>
      </c>
      <c r="E849" s="137">
        <v>45587</v>
      </c>
    </row>
    <row r="850" spans="1:5" ht="24" customHeight="1" x14ac:dyDescent="0.3">
      <c r="A850" s="138" t="s">
        <v>25</v>
      </c>
      <c r="B850" s="138">
        <v>11</v>
      </c>
      <c r="C850" s="129">
        <v>0</v>
      </c>
      <c r="D850" s="129">
        <v>0</v>
      </c>
      <c r="E850" s="130">
        <v>45588</v>
      </c>
    </row>
    <row r="851" spans="1:5" ht="24" customHeight="1" x14ac:dyDescent="0.3">
      <c r="A851" s="138" t="s">
        <v>25</v>
      </c>
      <c r="B851" s="138">
        <v>26</v>
      </c>
      <c r="C851" s="129">
        <v>0</v>
      </c>
      <c r="D851" s="129">
        <v>0</v>
      </c>
      <c r="E851" s="137">
        <v>45589</v>
      </c>
    </row>
    <row r="852" spans="1:5" ht="24" customHeight="1" x14ac:dyDescent="0.3">
      <c r="A852" s="138" t="s">
        <v>112</v>
      </c>
      <c r="B852" s="138">
        <v>0</v>
      </c>
      <c r="C852" s="129">
        <v>0</v>
      </c>
      <c r="D852" s="129">
        <v>0</v>
      </c>
      <c r="E852" s="130">
        <v>45590</v>
      </c>
    </row>
    <row r="853" spans="1:5" ht="24" customHeight="1" x14ac:dyDescent="0.3">
      <c r="A853" s="138" t="s">
        <v>25</v>
      </c>
      <c r="B853" s="138">
        <v>28</v>
      </c>
      <c r="C853" s="129">
        <v>0</v>
      </c>
      <c r="D853" s="129">
        <v>0</v>
      </c>
      <c r="E853" s="137">
        <v>45591</v>
      </c>
    </row>
    <row r="854" spans="1:5" ht="24" customHeight="1" x14ac:dyDescent="0.3">
      <c r="A854" s="138" t="s">
        <v>25</v>
      </c>
      <c r="B854" s="138">
        <v>24</v>
      </c>
      <c r="C854" s="129">
        <v>0</v>
      </c>
      <c r="D854" s="129">
        <v>0</v>
      </c>
      <c r="E854" s="130">
        <v>45592</v>
      </c>
    </row>
    <row r="855" spans="1:5" ht="24" customHeight="1" x14ac:dyDescent="0.3">
      <c r="A855" s="138" t="s">
        <v>25</v>
      </c>
      <c r="B855" s="138">
        <v>15</v>
      </c>
      <c r="C855" s="129">
        <v>0</v>
      </c>
      <c r="D855" s="129">
        <v>0</v>
      </c>
      <c r="E855" s="137">
        <v>45593</v>
      </c>
    </row>
    <row r="856" spans="1:5" ht="24" customHeight="1" x14ac:dyDescent="0.3">
      <c r="A856" s="135" t="s">
        <v>103</v>
      </c>
      <c r="B856" s="135">
        <v>70</v>
      </c>
      <c r="C856" s="129">
        <v>0</v>
      </c>
      <c r="D856" s="129">
        <v>0</v>
      </c>
      <c r="E856" s="130">
        <v>45594</v>
      </c>
    </row>
    <row r="857" spans="1:5" ht="24" customHeight="1" x14ac:dyDescent="0.3">
      <c r="A857" s="138" t="s">
        <v>25</v>
      </c>
      <c r="B857" s="138">
        <v>18</v>
      </c>
      <c r="C857" s="129">
        <v>0</v>
      </c>
      <c r="D857" s="129">
        <v>0</v>
      </c>
      <c r="E857" s="139">
        <v>45594</v>
      </c>
    </row>
    <row r="858" spans="1:5" ht="24" customHeight="1" x14ac:dyDescent="0.3">
      <c r="A858" s="138" t="s">
        <v>112</v>
      </c>
      <c r="B858" s="138">
        <v>0</v>
      </c>
      <c r="C858" s="129">
        <v>0</v>
      </c>
      <c r="D858" s="129">
        <v>0</v>
      </c>
      <c r="E858" s="130">
        <v>45595</v>
      </c>
    </row>
    <row r="859" spans="1:5" ht="24" customHeight="1" x14ac:dyDescent="0.3">
      <c r="A859" s="135" t="s">
        <v>45</v>
      </c>
      <c r="B859" s="135">
        <v>133</v>
      </c>
      <c r="C859" s="129">
        <v>0</v>
      </c>
      <c r="D859" s="129">
        <v>0</v>
      </c>
      <c r="E859" s="137">
        <v>45596</v>
      </c>
    </row>
    <row r="860" spans="1:5" ht="24" customHeight="1" x14ac:dyDescent="0.3">
      <c r="A860" s="138" t="s">
        <v>112</v>
      </c>
      <c r="B860" s="138">
        <v>0</v>
      </c>
      <c r="C860" s="129">
        <v>0</v>
      </c>
      <c r="D860" s="129">
        <v>0</v>
      </c>
      <c r="E860" s="130">
        <v>45596</v>
      </c>
    </row>
    <row r="861" spans="1:5" ht="24" customHeight="1" x14ac:dyDescent="0.3">
      <c r="A861" s="138" t="s">
        <v>25</v>
      </c>
      <c r="B861" s="138">
        <v>9.5</v>
      </c>
      <c r="C861" s="129">
        <v>0</v>
      </c>
      <c r="D861" s="129">
        <v>0</v>
      </c>
      <c r="E861" s="137">
        <v>45597</v>
      </c>
    </row>
    <row r="862" spans="1:5" ht="24" customHeight="1" x14ac:dyDescent="0.3">
      <c r="A862" s="135" t="s">
        <v>45</v>
      </c>
      <c r="B862" s="135">
        <v>10</v>
      </c>
      <c r="C862" s="129">
        <v>0</v>
      </c>
      <c r="D862" s="129">
        <v>0</v>
      </c>
      <c r="E862" s="130">
        <v>45598</v>
      </c>
    </row>
    <row r="863" spans="1:5" ht="24" customHeight="1" x14ac:dyDescent="0.3">
      <c r="A863" s="138" t="s">
        <v>25</v>
      </c>
      <c r="B863" s="138">
        <v>20</v>
      </c>
      <c r="C863" s="129">
        <v>0</v>
      </c>
      <c r="D863" s="129">
        <v>0</v>
      </c>
      <c r="E863" s="139">
        <v>45598</v>
      </c>
    </row>
    <row r="864" spans="1:5" ht="24" customHeight="1" x14ac:dyDescent="0.3">
      <c r="A864" s="138" t="s">
        <v>25</v>
      </c>
      <c r="B864" s="138">
        <v>27.5</v>
      </c>
      <c r="C864" s="129">
        <v>0</v>
      </c>
      <c r="D864" s="129">
        <v>0</v>
      </c>
      <c r="E864" s="130">
        <v>45599</v>
      </c>
    </row>
    <row r="865" spans="1:5" ht="24" customHeight="1" x14ac:dyDescent="0.3">
      <c r="A865" s="138" t="s">
        <v>25</v>
      </c>
      <c r="B865" s="138">
        <v>50</v>
      </c>
      <c r="C865" s="129">
        <v>0</v>
      </c>
      <c r="D865" s="129">
        <v>0</v>
      </c>
      <c r="E865" s="139">
        <v>45600</v>
      </c>
    </row>
    <row r="866" spans="1:5" ht="24" customHeight="1" x14ac:dyDescent="0.3">
      <c r="A866" s="138" t="s">
        <v>25</v>
      </c>
      <c r="B866" s="138">
        <v>0</v>
      </c>
      <c r="C866" s="129">
        <v>0</v>
      </c>
      <c r="D866" s="129">
        <v>0</v>
      </c>
      <c r="E866" s="130">
        <v>45601</v>
      </c>
    </row>
    <row r="867" spans="1:5" ht="24" customHeight="1" x14ac:dyDescent="0.3">
      <c r="A867" s="138" t="s">
        <v>25</v>
      </c>
      <c r="B867" s="138">
        <v>32</v>
      </c>
      <c r="C867" s="129">
        <v>0</v>
      </c>
      <c r="D867" s="129">
        <v>0</v>
      </c>
      <c r="E867" s="139">
        <v>45602</v>
      </c>
    </row>
    <row r="868" spans="1:5" ht="24" customHeight="1" x14ac:dyDescent="0.3">
      <c r="A868" s="138" t="s">
        <v>25</v>
      </c>
      <c r="B868" s="138">
        <v>19</v>
      </c>
      <c r="C868" s="129">
        <v>0</v>
      </c>
      <c r="D868" s="129">
        <v>0</v>
      </c>
      <c r="E868" s="130">
        <v>45603</v>
      </c>
    </row>
    <row r="869" spans="1:5" ht="24" customHeight="1" x14ac:dyDescent="0.3">
      <c r="A869" s="138" t="s">
        <v>25</v>
      </c>
      <c r="B869" s="138">
        <v>50</v>
      </c>
      <c r="C869" s="129">
        <v>0</v>
      </c>
      <c r="D869" s="129">
        <v>0</v>
      </c>
      <c r="E869" s="139">
        <v>45604</v>
      </c>
    </row>
    <row r="870" spans="1:5" ht="24" customHeight="1" x14ac:dyDescent="0.3">
      <c r="A870" s="138" t="s">
        <v>112</v>
      </c>
      <c r="B870" s="138">
        <v>0</v>
      </c>
      <c r="C870" s="129">
        <v>0</v>
      </c>
      <c r="D870" s="129">
        <v>0</v>
      </c>
      <c r="E870" s="130">
        <v>45605</v>
      </c>
    </row>
    <row r="871" spans="1:5" ht="24" customHeight="1" x14ac:dyDescent="0.3">
      <c r="A871" s="138" t="s">
        <v>112</v>
      </c>
      <c r="B871" s="138">
        <v>1.5</v>
      </c>
      <c r="C871" s="129">
        <v>0</v>
      </c>
      <c r="D871" s="129">
        <v>0</v>
      </c>
      <c r="E871" s="139">
        <v>45606</v>
      </c>
    </row>
    <row r="872" spans="1:5" ht="24" customHeight="1" x14ac:dyDescent="0.3">
      <c r="A872" s="138" t="s">
        <v>25</v>
      </c>
      <c r="B872" s="138">
        <v>4</v>
      </c>
      <c r="C872" s="129">
        <v>0</v>
      </c>
      <c r="D872" s="129">
        <v>0</v>
      </c>
      <c r="E872" s="130">
        <v>45607</v>
      </c>
    </row>
    <row r="873" spans="1:5" ht="24" customHeight="1" x14ac:dyDescent="0.3">
      <c r="A873" s="135" t="s">
        <v>45</v>
      </c>
      <c r="B873" s="135">
        <v>47.11</v>
      </c>
      <c r="C873" s="129">
        <v>0</v>
      </c>
      <c r="D873" s="129">
        <v>0</v>
      </c>
      <c r="E873" s="137">
        <v>45608</v>
      </c>
    </row>
    <row r="874" spans="1:5" ht="24" customHeight="1" x14ac:dyDescent="0.3">
      <c r="A874" s="138" t="s">
        <v>112</v>
      </c>
      <c r="B874" s="138">
        <v>0</v>
      </c>
      <c r="C874" s="129">
        <v>0</v>
      </c>
      <c r="D874" s="129">
        <v>0</v>
      </c>
      <c r="E874" s="130">
        <v>45608</v>
      </c>
    </row>
    <row r="875" spans="1:5" ht="24" customHeight="1" x14ac:dyDescent="0.3">
      <c r="A875" s="135" t="s">
        <v>104</v>
      </c>
      <c r="B875" s="135">
        <v>118</v>
      </c>
      <c r="C875" s="129">
        <v>0</v>
      </c>
      <c r="D875" s="129">
        <v>0</v>
      </c>
      <c r="E875" s="137">
        <v>45609</v>
      </c>
    </row>
    <row r="876" spans="1:5" ht="24" customHeight="1" x14ac:dyDescent="0.3">
      <c r="A876" s="135" t="s">
        <v>28</v>
      </c>
      <c r="B876" s="135">
        <v>8.5</v>
      </c>
      <c r="C876" s="129">
        <v>0</v>
      </c>
      <c r="D876" s="129">
        <v>0</v>
      </c>
      <c r="E876" s="130">
        <v>45609</v>
      </c>
    </row>
    <row r="877" spans="1:5" ht="24" customHeight="1" x14ac:dyDescent="0.3">
      <c r="A877" s="138" t="s">
        <v>112</v>
      </c>
      <c r="B877" s="138">
        <v>0</v>
      </c>
      <c r="C877" s="129">
        <v>0</v>
      </c>
      <c r="D877" s="129">
        <v>0</v>
      </c>
      <c r="E877" s="137">
        <v>45609</v>
      </c>
    </row>
    <row r="878" spans="1:5" ht="24" customHeight="1" x14ac:dyDescent="0.3">
      <c r="A878" s="135" t="s">
        <v>45</v>
      </c>
      <c r="B878" s="135">
        <v>36.5</v>
      </c>
      <c r="C878" s="129">
        <v>0</v>
      </c>
      <c r="D878" s="129">
        <v>0</v>
      </c>
      <c r="E878" s="130">
        <v>45610</v>
      </c>
    </row>
    <row r="879" spans="1:5" ht="24" customHeight="1" x14ac:dyDescent="0.3">
      <c r="A879" s="138" t="s">
        <v>112</v>
      </c>
      <c r="B879" s="138">
        <v>0</v>
      </c>
      <c r="C879" s="129">
        <v>0</v>
      </c>
      <c r="D879" s="129">
        <v>0</v>
      </c>
      <c r="E879" s="139">
        <v>45610</v>
      </c>
    </row>
    <row r="880" spans="1:5" ht="24" customHeight="1" x14ac:dyDescent="0.3">
      <c r="A880" s="135" t="s">
        <v>45</v>
      </c>
      <c r="B880" s="135">
        <v>36</v>
      </c>
      <c r="C880" s="129">
        <v>0</v>
      </c>
      <c r="D880" s="129">
        <v>0</v>
      </c>
      <c r="E880" s="130">
        <v>45611</v>
      </c>
    </row>
    <row r="881" spans="1:5" ht="24" customHeight="1" x14ac:dyDescent="0.3">
      <c r="A881" s="135" t="s">
        <v>19</v>
      </c>
      <c r="B881" s="135">
        <v>1046</v>
      </c>
      <c r="C881" s="129">
        <v>0</v>
      </c>
      <c r="D881" s="129">
        <v>0</v>
      </c>
      <c r="E881" s="137">
        <v>45611</v>
      </c>
    </row>
    <row r="882" spans="1:5" ht="24" customHeight="1" x14ac:dyDescent="0.3">
      <c r="A882" s="138" t="s">
        <v>112</v>
      </c>
      <c r="B882" s="138">
        <v>0</v>
      </c>
      <c r="C882" s="129">
        <v>0</v>
      </c>
      <c r="D882" s="129">
        <v>0</v>
      </c>
      <c r="E882" s="130">
        <v>45611</v>
      </c>
    </row>
    <row r="883" spans="1:5" ht="24" customHeight="1" x14ac:dyDescent="0.3">
      <c r="A883" s="138" t="s">
        <v>112</v>
      </c>
      <c r="B883" s="138">
        <v>0</v>
      </c>
      <c r="C883" s="129">
        <v>0</v>
      </c>
      <c r="D883" s="129">
        <v>0</v>
      </c>
      <c r="E883" s="139">
        <v>45612</v>
      </c>
    </row>
    <row r="884" spans="1:5" ht="24" customHeight="1" x14ac:dyDescent="0.3">
      <c r="A884" s="138" t="s">
        <v>112</v>
      </c>
      <c r="B884" s="138">
        <v>0</v>
      </c>
      <c r="C884" s="129">
        <v>0</v>
      </c>
      <c r="D884" s="129">
        <v>0</v>
      </c>
      <c r="E884" s="130">
        <v>45613</v>
      </c>
    </row>
    <row r="885" spans="1:5" ht="24" customHeight="1" x14ac:dyDescent="0.3">
      <c r="A885" s="135" t="s">
        <v>45</v>
      </c>
      <c r="B885" s="135">
        <v>65</v>
      </c>
      <c r="C885" s="129">
        <v>0</v>
      </c>
      <c r="D885" s="129">
        <v>0</v>
      </c>
      <c r="E885" s="137">
        <v>45614</v>
      </c>
    </row>
    <row r="886" spans="1:5" ht="24" customHeight="1" x14ac:dyDescent="0.3">
      <c r="A886" s="138" t="s">
        <v>25</v>
      </c>
      <c r="B886" s="138">
        <v>8</v>
      </c>
      <c r="C886" s="129">
        <v>0</v>
      </c>
      <c r="D886" s="129">
        <v>0</v>
      </c>
      <c r="E886" s="130">
        <v>45614</v>
      </c>
    </row>
    <row r="887" spans="1:5" ht="24" customHeight="1" x14ac:dyDescent="0.3">
      <c r="A887" s="138" t="s">
        <v>25</v>
      </c>
      <c r="B887" s="138">
        <v>5</v>
      </c>
      <c r="C887" s="129">
        <v>0</v>
      </c>
      <c r="D887" s="129">
        <v>0</v>
      </c>
      <c r="E887" s="137">
        <v>45615</v>
      </c>
    </row>
    <row r="888" spans="1:5" ht="24" customHeight="1" x14ac:dyDescent="0.3">
      <c r="A888" s="135" t="s">
        <v>45</v>
      </c>
      <c r="B888" s="135">
        <v>135</v>
      </c>
      <c r="C888" s="129">
        <v>0</v>
      </c>
      <c r="D888" s="129">
        <v>0</v>
      </c>
      <c r="E888" s="130">
        <v>45616</v>
      </c>
    </row>
    <row r="889" spans="1:5" ht="24" customHeight="1" x14ac:dyDescent="0.3">
      <c r="A889" s="138" t="s">
        <v>112</v>
      </c>
      <c r="B889" s="138">
        <v>0</v>
      </c>
      <c r="C889" s="129">
        <v>0</v>
      </c>
      <c r="D889" s="129">
        <v>0</v>
      </c>
      <c r="E889" s="139">
        <v>45616</v>
      </c>
    </row>
    <row r="890" spans="1:5" ht="24" customHeight="1" x14ac:dyDescent="0.3">
      <c r="A890" s="138" t="s">
        <v>25</v>
      </c>
      <c r="B890" s="138">
        <v>6.5</v>
      </c>
      <c r="C890" s="129">
        <v>0</v>
      </c>
      <c r="D890" s="129">
        <v>0</v>
      </c>
      <c r="E890" s="130">
        <v>45617</v>
      </c>
    </row>
    <row r="891" spans="1:5" ht="24" customHeight="1" x14ac:dyDescent="0.3">
      <c r="A891" s="135" t="s">
        <v>45</v>
      </c>
      <c r="B891" s="135">
        <v>98</v>
      </c>
      <c r="C891" s="129">
        <v>0</v>
      </c>
      <c r="D891" s="129">
        <v>0</v>
      </c>
      <c r="E891" s="137">
        <v>45618</v>
      </c>
    </row>
    <row r="892" spans="1:5" ht="24" customHeight="1" x14ac:dyDescent="0.3">
      <c r="A892" s="138" t="s">
        <v>25</v>
      </c>
      <c r="B892" s="138">
        <v>18</v>
      </c>
      <c r="C892" s="129">
        <v>0</v>
      </c>
      <c r="D892" s="129">
        <v>0</v>
      </c>
      <c r="E892" s="130">
        <v>45618</v>
      </c>
    </row>
    <row r="893" spans="1:5" ht="24" customHeight="1" x14ac:dyDescent="0.3">
      <c r="A893" s="138" t="s">
        <v>25</v>
      </c>
      <c r="B893" s="138">
        <v>5</v>
      </c>
      <c r="C893" s="129">
        <v>0</v>
      </c>
      <c r="D893" s="129">
        <v>0</v>
      </c>
      <c r="E893" s="137">
        <v>45619</v>
      </c>
    </row>
    <row r="894" spans="1:5" ht="24" customHeight="1" x14ac:dyDescent="0.3">
      <c r="A894" s="138" t="s">
        <v>25</v>
      </c>
      <c r="B894" s="138">
        <v>35.5</v>
      </c>
      <c r="C894" s="129">
        <v>0</v>
      </c>
      <c r="D894" s="129">
        <v>0</v>
      </c>
      <c r="E894" s="130">
        <v>45620</v>
      </c>
    </row>
    <row r="895" spans="1:5" ht="24" customHeight="1" x14ac:dyDescent="0.3">
      <c r="A895" s="138" t="s">
        <v>25</v>
      </c>
      <c r="B895" s="138">
        <v>5</v>
      </c>
      <c r="C895" s="129">
        <v>0</v>
      </c>
      <c r="D895" s="129">
        <v>0</v>
      </c>
      <c r="E895" s="137">
        <v>45621</v>
      </c>
    </row>
    <row r="896" spans="1:5" ht="24" customHeight="1" x14ac:dyDescent="0.3">
      <c r="A896" s="135" t="s">
        <v>138</v>
      </c>
      <c r="B896" s="135">
        <v>15</v>
      </c>
      <c r="C896" s="129">
        <v>0</v>
      </c>
      <c r="D896" s="129">
        <v>0</v>
      </c>
      <c r="E896" s="130">
        <v>45622</v>
      </c>
    </row>
    <row r="897" spans="1:5" ht="24" customHeight="1" x14ac:dyDescent="0.3">
      <c r="A897" s="135" t="s">
        <v>103</v>
      </c>
      <c r="B897" s="135">
        <v>43</v>
      </c>
      <c r="C897" s="129">
        <v>0</v>
      </c>
      <c r="D897" s="129">
        <v>0</v>
      </c>
      <c r="E897" s="137">
        <v>45622</v>
      </c>
    </row>
    <row r="898" spans="1:5" ht="24" customHeight="1" x14ac:dyDescent="0.3">
      <c r="A898" s="138" t="s">
        <v>25</v>
      </c>
      <c r="B898" s="138">
        <v>19.5</v>
      </c>
      <c r="C898" s="129">
        <v>0</v>
      </c>
      <c r="D898" s="129">
        <v>0</v>
      </c>
      <c r="E898" s="130">
        <v>45622</v>
      </c>
    </row>
    <row r="899" spans="1:5" ht="24" customHeight="1" x14ac:dyDescent="0.3">
      <c r="A899" s="138" t="s">
        <v>25</v>
      </c>
      <c r="B899" s="138">
        <v>60</v>
      </c>
      <c r="C899" s="129">
        <v>0</v>
      </c>
      <c r="D899" s="129">
        <v>0</v>
      </c>
      <c r="E899" s="137">
        <v>45623</v>
      </c>
    </row>
    <row r="900" spans="1:5" ht="24" customHeight="1" x14ac:dyDescent="0.3">
      <c r="A900" s="138" t="s">
        <v>25</v>
      </c>
      <c r="B900" s="138">
        <v>13</v>
      </c>
      <c r="C900" s="129">
        <v>0</v>
      </c>
      <c r="D900" s="129">
        <v>0</v>
      </c>
      <c r="E900" s="130">
        <v>45624</v>
      </c>
    </row>
    <row r="901" spans="1:5" ht="24" customHeight="1" x14ac:dyDescent="0.3">
      <c r="A901" s="138" t="s">
        <v>25</v>
      </c>
      <c r="B901" s="138">
        <v>19</v>
      </c>
      <c r="C901" s="129">
        <v>0</v>
      </c>
      <c r="D901" s="129">
        <v>0</v>
      </c>
      <c r="E901" s="137">
        <v>45625</v>
      </c>
    </row>
    <row r="902" spans="1:5" ht="24" customHeight="1" x14ac:dyDescent="0.3">
      <c r="A902" s="135" t="s">
        <v>45</v>
      </c>
      <c r="B902" s="135">
        <v>69</v>
      </c>
      <c r="C902" s="129">
        <v>0</v>
      </c>
      <c r="D902" s="129">
        <v>0</v>
      </c>
      <c r="E902" s="130">
        <v>45626</v>
      </c>
    </row>
    <row r="903" spans="1:5" ht="24" customHeight="1" x14ac:dyDescent="0.3">
      <c r="A903" s="138" t="s">
        <v>112</v>
      </c>
      <c r="B903" s="138">
        <v>0</v>
      </c>
      <c r="C903" s="129">
        <v>0</v>
      </c>
      <c r="D903" s="129">
        <v>0</v>
      </c>
      <c r="E903" s="139">
        <v>45626</v>
      </c>
    </row>
    <row r="904" spans="1:5" ht="24" customHeight="1" x14ac:dyDescent="0.3">
      <c r="A904" s="138" t="s">
        <v>112</v>
      </c>
      <c r="B904" s="138">
        <v>0</v>
      </c>
      <c r="C904" s="129">
        <v>0</v>
      </c>
      <c r="D904" s="129">
        <v>0</v>
      </c>
      <c r="E904" s="130">
        <v>45627</v>
      </c>
    </row>
    <row r="905" spans="1:5" ht="24" customHeight="1" x14ac:dyDescent="0.3">
      <c r="A905" s="135" t="s">
        <v>45</v>
      </c>
      <c r="B905" s="135">
        <v>465</v>
      </c>
      <c r="C905" s="129">
        <v>0</v>
      </c>
      <c r="D905" s="129">
        <v>0</v>
      </c>
      <c r="E905" s="137">
        <v>45628</v>
      </c>
    </row>
    <row r="906" spans="1:5" ht="24" customHeight="1" x14ac:dyDescent="0.3">
      <c r="A906" s="138" t="s">
        <v>112</v>
      </c>
      <c r="B906" s="138">
        <v>19</v>
      </c>
      <c r="C906" s="129">
        <v>0</v>
      </c>
      <c r="D906" s="129">
        <v>0</v>
      </c>
      <c r="E906" s="130">
        <v>45628</v>
      </c>
    </row>
    <row r="907" spans="1:5" ht="24" customHeight="1" x14ac:dyDescent="0.3">
      <c r="A907" s="138" t="s">
        <v>112</v>
      </c>
      <c r="B907" s="138">
        <v>0</v>
      </c>
      <c r="C907" s="129">
        <v>0</v>
      </c>
      <c r="D907" s="129">
        <v>0</v>
      </c>
      <c r="E907" s="137">
        <v>45629</v>
      </c>
    </row>
    <row r="908" spans="1:5" ht="24" customHeight="1" x14ac:dyDescent="0.3">
      <c r="A908" s="138" t="s">
        <v>25</v>
      </c>
      <c r="B908" s="138">
        <v>14</v>
      </c>
      <c r="C908" s="129">
        <v>0</v>
      </c>
      <c r="D908" s="129">
        <v>0</v>
      </c>
      <c r="E908" s="130">
        <v>45630</v>
      </c>
    </row>
    <row r="909" spans="1:5" ht="24" customHeight="1" x14ac:dyDescent="0.3">
      <c r="A909" s="138" t="s">
        <v>25</v>
      </c>
      <c r="B909" s="138">
        <v>3.6</v>
      </c>
      <c r="C909" s="129">
        <v>0</v>
      </c>
      <c r="D909" s="129">
        <v>0</v>
      </c>
      <c r="E909" s="137">
        <v>45631</v>
      </c>
    </row>
    <row r="910" spans="1:5" ht="24" customHeight="1" x14ac:dyDescent="0.3">
      <c r="A910" s="138" t="s">
        <v>112</v>
      </c>
      <c r="B910" s="138">
        <v>0</v>
      </c>
      <c r="C910" s="129">
        <v>0</v>
      </c>
      <c r="D910" s="129">
        <v>0</v>
      </c>
      <c r="E910" s="130">
        <v>45632</v>
      </c>
    </row>
    <row r="911" spans="1:5" ht="24" customHeight="1" x14ac:dyDescent="0.3">
      <c r="A911" s="138" t="s">
        <v>112</v>
      </c>
      <c r="B911" s="138">
        <v>0</v>
      </c>
      <c r="C911" s="129">
        <v>0</v>
      </c>
      <c r="D911" s="129">
        <v>0</v>
      </c>
      <c r="E911" s="137">
        <v>45633</v>
      </c>
    </row>
    <row r="912" spans="1:5" ht="24" customHeight="1" x14ac:dyDescent="0.3">
      <c r="A912" s="138" t="s">
        <v>112</v>
      </c>
      <c r="B912" s="138">
        <v>0</v>
      </c>
      <c r="C912" s="129">
        <v>0</v>
      </c>
      <c r="D912" s="129">
        <v>0</v>
      </c>
      <c r="E912" s="130">
        <v>45634</v>
      </c>
    </row>
    <row r="913" spans="1:5" ht="24" customHeight="1" x14ac:dyDescent="0.3">
      <c r="A913" s="135" t="s">
        <v>45</v>
      </c>
      <c r="B913" s="135">
        <v>155</v>
      </c>
      <c r="C913" s="129">
        <v>0</v>
      </c>
      <c r="D913" s="129">
        <v>0</v>
      </c>
      <c r="E913" s="137">
        <v>45635</v>
      </c>
    </row>
    <row r="914" spans="1:5" ht="24" customHeight="1" x14ac:dyDescent="0.3">
      <c r="A914" s="138" t="s">
        <v>112</v>
      </c>
      <c r="B914" s="138">
        <v>0</v>
      </c>
      <c r="C914" s="129">
        <v>0</v>
      </c>
      <c r="D914" s="129">
        <v>0</v>
      </c>
      <c r="E914" s="130">
        <v>45635</v>
      </c>
    </row>
    <row r="915" spans="1:5" ht="24" customHeight="1" x14ac:dyDescent="0.3">
      <c r="A915" s="135" t="s">
        <v>45</v>
      </c>
      <c r="B915" s="135">
        <v>56</v>
      </c>
      <c r="C915" s="129">
        <v>0</v>
      </c>
      <c r="D915" s="129">
        <v>0</v>
      </c>
      <c r="E915" s="137">
        <v>45636</v>
      </c>
    </row>
    <row r="916" spans="1:5" ht="24" customHeight="1" x14ac:dyDescent="0.3">
      <c r="A916" s="138" t="s">
        <v>112</v>
      </c>
      <c r="B916" s="138">
        <v>0</v>
      </c>
      <c r="C916" s="129">
        <v>0</v>
      </c>
      <c r="D916" s="129">
        <v>0</v>
      </c>
      <c r="E916" s="130">
        <v>45636</v>
      </c>
    </row>
    <row r="917" spans="1:5" ht="24" customHeight="1" x14ac:dyDescent="0.3">
      <c r="A917" s="135" t="s">
        <v>45</v>
      </c>
      <c r="B917" s="135">
        <v>25</v>
      </c>
      <c r="C917" s="129">
        <v>0</v>
      </c>
      <c r="D917" s="129">
        <v>0</v>
      </c>
      <c r="E917" s="137">
        <v>45637</v>
      </c>
    </row>
    <row r="918" spans="1:5" ht="24" customHeight="1" x14ac:dyDescent="0.3">
      <c r="A918" s="135" t="s">
        <v>103</v>
      </c>
      <c r="B918" s="135">
        <v>15</v>
      </c>
      <c r="C918" s="129">
        <v>0</v>
      </c>
      <c r="D918" s="129">
        <v>0</v>
      </c>
      <c r="E918" s="130">
        <v>45637</v>
      </c>
    </row>
    <row r="919" spans="1:5" ht="24" customHeight="1" x14ac:dyDescent="0.3">
      <c r="A919" s="138" t="s">
        <v>112</v>
      </c>
      <c r="B919" s="138">
        <v>10</v>
      </c>
      <c r="C919" s="129">
        <v>0</v>
      </c>
      <c r="D919" s="129">
        <v>0</v>
      </c>
      <c r="E919" s="137">
        <v>45637</v>
      </c>
    </row>
    <row r="920" spans="1:5" ht="24" customHeight="1" x14ac:dyDescent="0.3">
      <c r="A920" s="135" t="s">
        <v>45</v>
      </c>
      <c r="B920" s="135">
        <v>0</v>
      </c>
      <c r="C920" s="129">
        <v>0</v>
      </c>
      <c r="D920" s="129">
        <v>50000</v>
      </c>
      <c r="E920" s="130">
        <v>45638</v>
      </c>
    </row>
    <row r="921" spans="1:5" ht="24" customHeight="1" x14ac:dyDescent="0.3">
      <c r="A921" s="138" t="s">
        <v>25</v>
      </c>
      <c r="B921" s="138">
        <v>58</v>
      </c>
      <c r="C921" s="129">
        <v>0</v>
      </c>
      <c r="D921" s="129">
        <v>0</v>
      </c>
      <c r="E921" s="139">
        <v>45638</v>
      </c>
    </row>
    <row r="922" spans="1:5" ht="24" customHeight="1" x14ac:dyDescent="0.3">
      <c r="A922" s="135" t="s">
        <v>104</v>
      </c>
      <c r="B922" s="135">
        <v>120</v>
      </c>
      <c r="C922" s="129">
        <v>0</v>
      </c>
      <c r="D922" s="129">
        <v>0</v>
      </c>
      <c r="E922" s="130">
        <v>45639</v>
      </c>
    </row>
    <row r="923" spans="1:5" ht="24" customHeight="1" x14ac:dyDescent="0.3">
      <c r="A923" s="138" t="s">
        <v>25</v>
      </c>
      <c r="B923" s="138">
        <v>3.6</v>
      </c>
      <c r="C923" s="129">
        <v>0</v>
      </c>
      <c r="D923" s="129">
        <v>0</v>
      </c>
      <c r="E923" s="137">
        <v>45639</v>
      </c>
    </row>
    <row r="924" spans="1:5" ht="24" customHeight="1" x14ac:dyDescent="0.3">
      <c r="A924" s="135" t="s">
        <v>103</v>
      </c>
      <c r="B924" s="135">
        <v>64</v>
      </c>
      <c r="C924" s="129">
        <v>0</v>
      </c>
      <c r="D924" s="129">
        <v>0</v>
      </c>
      <c r="E924" s="130">
        <v>45640</v>
      </c>
    </row>
    <row r="925" spans="1:5" ht="24" customHeight="1" x14ac:dyDescent="0.3">
      <c r="A925" s="138" t="s">
        <v>25</v>
      </c>
      <c r="B925" s="138">
        <v>11</v>
      </c>
      <c r="C925" s="129">
        <v>0</v>
      </c>
      <c r="D925" s="129">
        <v>0</v>
      </c>
      <c r="E925" s="139">
        <v>45640</v>
      </c>
    </row>
    <row r="926" spans="1:5" ht="24" customHeight="1" x14ac:dyDescent="0.3">
      <c r="A926" s="135" t="s">
        <v>19</v>
      </c>
      <c r="B926" s="135">
        <v>1045</v>
      </c>
      <c r="C926" s="129">
        <v>0</v>
      </c>
      <c r="D926" s="129">
        <v>0</v>
      </c>
      <c r="E926" s="130">
        <v>45641</v>
      </c>
    </row>
    <row r="927" spans="1:5" ht="24" customHeight="1" x14ac:dyDescent="0.3">
      <c r="A927" s="138" t="s">
        <v>25</v>
      </c>
      <c r="B927" s="138">
        <v>0</v>
      </c>
      <c r="C927" s="129">
        <v>0</v>
      </c>
      <c r="D927" s="129">
        <v>0</v>
      </c>
      <c r="E927" s="137">
        <v>45641</v>
      </c>
    </row>
    <row r="928" spans="1:5" ht="24" customHeight="1" x14ac:dyDescent="0.3">
      <c r="A928" s="138" t="s">
        <v>25</v>
      </c>
      <c r="B928" s="138">
        <v>16</v>
      </c>
      <c r="C928" s="129">
        <v>0</v>
      </c>
      <c r="D928" s="129">
        <v>0</v>
      </c>
      <c r="E928" s="130">
        <v>45642</v>
      </c>
    </row>
    <row r="929" spans="1:5" ht="24" customHeight="1" x14ac:dyDescent="0.3">
      <c r="A929" s="138" t="s">
        <v>25</v>
      </c>
      <c r="B929" s="138">
        <v>23</v>
      </c>
      <c r="C929" s="129">
        <v>0</v>
      </c>
      <c r="D929" s="129">
        <v>0</v>
      </c>
      <c r="E929" s="137">
        <v>45643</v>
      </c>
    </row>
    <row r="930" spans="1:5" ht="24" customHeight="1" x14ac:dyDescent="0.3">
      <c r="A930" s="135" t="s">
        <v>45</v>
      </c>
      <c r="B930" s="135">
        <v>7.5</v>
      </c>
      <c r="C930" s="129">
        <v>0</v>
      </c>
      <c r="D930" s="129">
        <v>0</v>
      </c>
      <c r="E930" s="130">
        <v>45644</v>
      </c>
    </row>
    <row r="931" spans="1:5" ht="24" customHeight="1" x14ac:dyDescent="0.3">
      <c r="A931" s="138" t="s">
        <v>25</v>
      </c>
      <c r="B931" s="138">
        <v>40</v>
      </c>
      <c r="C931" s="129">
        <v>0</v>
      </c>
      <c r="D931" s="129">
        <v>0</v>
      </c>
      <c r="E931" s="139">
        <v>45644</v>
      </c>
    </row>
    <row r="932" spans="1:5" ht="24" customHeight="1" x14ac:dyDescent="0.3">
      <c r="A932" s="138" t="s">
        <v>25</v>
      </c>
      <c r="B932" s="138">
        <v>48</v>
      </c>
      <c r="C932" s="129">
        <v>0</v>
      </c>
      <c r="D932" s="129">
        <v>0</v>
      </c>
      <c r="E932" s="130">
        <v>45645</v>
      </c>
    </row>
    <row r="933" spans="1:5" ht="24" customHeight="1" x14ac:dyDescent="0.3">
      <c r="A933" s="138" t="s">
        <v>25</v>
      </c>
      <c r="B933" s="138">
        <v>3.6</v>
      </c>
      <c r="C933" s="129">
        <v>0</v>
      </c>
      <c r="D933" s="129">
        <v>0</v>
      </c>
      <c r="E933" s="139">
        <v>45646</v>
      </c>
    </row>
    <row r="934" spans="1:5" ht="24" customHeight="1" x14ac:dyDescent="0.3">
      <c r="A934" s="135" t="s">
        <v>45</v>
      </c>
      <c r="B934" s="135">
        <v>20</v>
      </c>
      <c r="C934" s="129">
        <v>0</v>
      </c>
      <c r="D934" s="129">
        <v>0</v>
      </c>
      <c r="E934" s="130">
        <v>45647</v>
      </c>
    </row>
    <row r="935" spans="1:5" ht="24" customHeight="1" x14ac:dyDescent="0.3">
      <c r="A935" s="135" t="s">
        <v>45</v>
      </c>
      <c r="B935" s="135">
        <v>36.5</v>
      </c>
      <c r="C935" s="129">
        <v>0</v>
      </c>
      <c r="D935" s="129">
        <v>0</v>
      </c>
      <c r="E935" s="137">
        <v>45647</v>
      </c>
    </row>
    <row r="936" spans="1:5" ht="24" customHeight="1" x14ac:dyDescent="0.3">
      <c r="A936" s="138" t="s">
        <v>25</v>
      </c>
      <c r="B936" s="138">
        <v>65</v>
      </c>
      <c r="C936" s="129">
        <v>0</v>
      </c>
      <c r="D936" s="129">
        <v>0</v>
      </c>
      <c r="E936" s="130">
        <v>45647</v>
      </c>
    </row>
    <row r="937" spans="1:5" ht="24" customHeight="1" x14ac:dyDescent="0.3">
      <c r="A937" s="135" t="s">
        <v>28</v>
      </c>
      <c r="B937" s="135">
        <v>53</v>
      </c>
      <c r="C937" s="129">
        <v>0</v>
      </c>
      <c r="D937" s="129">
        <v>0</v>
      </c>
      <c r="E937" s="137">
        <v>45648</v>
      </c>
    </row>
    <row r="938" spans="1:5" ht="24" customHeight="1" x14ac:dyDescent="0.3">
      <c r="A938" s="138" t="s">
        <v>112</v>
      </c>
      <c r="B938" s="138">
        <v>0</v>
      </c>
      <c r="C938" s="129">
        <v>0</v>
      </c>
      <c r="D938" s="129">
        <v>0</v>
      </c>
      <c r="E938" s="130">
        <v>45648</v>
      </c>
    </row>
    <row r="939" spans="1:5" ht="24" customHeight="1" x14ac:dyDescent="0.3">
      <c r="A939" s="135" t="s">
        <v>45</v>
      </c>
      <c r="B939" s="135">
        <v>40</v>
      </c>
      <c r="C939" s="129">
        <v>0</v>
      </c>
      <c r="D939" s="129">
        <v>0</v>
      </c>
      <c r="E939" s="137">
        <v>45649</v>
      </c>
    </row>
    <row r="940" spans="1:5" ht="24" customHeight="1" x14ac:dyDescent="0.3">
      <c r="A940" s="138" t="s">
        <v>25</v>
      </c>
      <c r="B940" s="138">
        <v>25</v>
      </c>
      <c r="C940" s="129">
        <v>0</v>
      </c>
      <c r="D940" s="129">
        <v>0</v>
      </c>
      <c r="E940" s="130">
        <v>45649</v>
      </c>
    </row>
    <row r="941" spans="1:5" ht="24" customHeight="1" x14ac:dyDescent="0.3">
      <c r="A941" s="138" t="s">
        <v>25</v>
      </c>
      <c r="B941" s="138">
        <v>15</v>
      </c>
      <c r="C941" s="129">
        <v>0</v>
      </c>
      <c r="D941" s="129">
        <v>0</v>
      </c>
      <c r="E941" s="139">
        <v>45650</v>
      </c>
    </row>
    <row r="942" spans="1:5" ht="24" customHeight="1" x14ac:dyDescent="0.3">
      <c r="A942" s="135" t="s">
        <v>45</v>
      </c>
      <c r="B942" s="135">
        <v>5</v>
      </c>
      <c r="C942" s="129">
        <v>0</v>
      </c>
      <c r="D942" s="129">
        <v>0</v>
      </c>
      <c r="E942" s="130">
        <v>45651</v>
      </c>
    </row>
    <row r="943" spans="1:5" ht="24" customHeight="1" x14ac:dyDescent="0.3">
      <c r="A943" s="138" t="s">
        <v>25</v>
      </c>
      <c r="B943" s="138">
        <v>4</v>
      </c>
      <c r="C943" s="129">
        <v>0</v>
      </c>
      <c r="D943" s="129">
        <v>0</v>
      </c>
      <c r="E943" s="137">
        <v>45651</v>
      </c>
    </row>
    <row r="944" spans="1:5" ht="24" customHeight="1" x14ac:dyDescent="0.3">
      <c r="A944" s="138" t="s">
        <v>25</v>
      </c>
      <c r="B944" s="138">
        <v>28</v>
      </c>
      <c r="C944" s="129">
        <v>0</v>
      </c>
      <c r="D944" s="129">
        <v>0</v>
      </c>
      <c r="E944" s="130">
        <v>45652</v>
      </c>
    </row>
    <row r="945" spans="1:5" ht="24" customHeight="1" x14ac:dyDescent="0.3">
      <c r="A945" s="135" t="s">
        <v>45</v>
      </c>
      <c r="B945" s="135">
        <v>50</v>
      </c>
      <c r="C945" s="129">
        <v>0</v>
      </c>
      <c r="D945" s="129">
        <v>0</v>
      </c>
      <c r="E945" s="137">
        <v>45653</v>
      </c>
    </row>
    <row r="946" spans="1:5" ht="24" customHeight="1" x14ac:dyDescent="0.3">
      <c r="A946" s="138" t="s">
        <v>25</v>
      </c>
      <c r="B946" s="138">
        <v>20</v>
      </c>
      <c r="C946" s="129">
        <v>0</v>
      </c>
      <c r="D946" s="129">
        <v>0</v>
      </c>
      <c r="E946" s="130">
        <v>45653</v>
      </c>
    </row>
  </sheetData>
  <autoFilter ref="A1:E193" xr:uid="{C0FFB7D9-501C-4B1B-A791-4E5E3B2641B6}">
    <sortState xmlns:xlrd2="http://schemas.microsoft.com/office/spreadsheetml/2017/richdata2" ref="A2:E946">
      <sortCondition ref="E1:E193"/>
    </sortState>
  </autoFilter>
  <dataValidations count="3">
    <dataValidation type="list" allowBlank="1" showInputMessage="1" showErrorMessage="1" sqref="A1 A193:A1048576" xr:uid="{A3F12115-EEC1-4780-A872-8025336F1005}">
      <formula1>"Rent, Food(Dominos), Food(McD), Food(Hungry Jacks), Food(7-Eleven), Food(indian), food(others), optus, vodafone, grocery(woolworths), grocery(coles), grocery(Aldi), Grocery(indian), Shopping(Kmart), Shopping(BigW),Shopping(others), Travel, Misc."</formula1>
    </dataValidation>
    <dataValidation type="list" errorStyle="warning" allowBlank="1" showInputMessage="1" showErrorMessage="1" error="Value not in the list. Continue Anyways" sqref="A93:A181 A73:A91 A70:A71 A55:A68 F53:XFD53 A2 A22:A52 A5:A20" xr:uid="{5FA58EF0-DFFD-4C5F-AB86-BDAEF60A791F}">
      <formula1>"Rent, Eat out, optus, vodafone, Grocery, Shopping, Loan Int.,Travel, Misc"</formula1>
    </dataValidation>
    <dataValidation type="list" errorStyle="warning" allowBlank="1" showInputMessage="1" showErrorMessage="1" error="Value not in the list. Continue Anyways" sqref="A182:A192" xr:uid="{767C1811-7E00-4175-857C-5C92AD519C15}">
      <formula1>"Rent, Food(Dominos), Food(McD), Food(Hungry Jacks), Food(7-Eleven), Food(indian), food(others), optus, vodafone, grocery(woolworths), grocery(coles), grocery(Aldi), Grocery(indian), Shopping(Kmart), Shopping(BigW),Shopping(others), Loan Int.,Travel, Misc."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27034-A052-4389-B269-F5429BB2EEF9}">
  <sheetPr codeName="Sheet11">
    <tabColor rgb="FFD6E3B5"/>
  </sheetPr>
  <dimension ref="A1:H762"/>
  <sheetViews>
    <sheetView topLeftCell="A738" zoomScale="97" workbookViewId="0">
      <selection activeCell="C2" sqref="C2:C756"/>
    </sheetView>
  </sheetViews>
  <sheetFormatPr defaultColWidth="24.6640625" defaultRowHeight="14.4" x14ac:dyDescent="0.3"/>
  <sheetData>
    <row r="1" spans="1:8" ht="21" x14ac:dyDescent="0.4">
      <c r="A1" s="96" t="s">
        <v>0</v>
      </c>
      <c r="B1" s="96" t="s">
        <v>107</v>
      </c>
      <c r="C1" s="96" t="s">
        <v>36</v>
      </c>
      <c r="D1" s="96" t="s">
        <v>76</v>
      </c>
      <c r="E1" s="96" t="s">
        <v>108</v>
      </c>
      <c r="F1" s="96" t="s">
        <v>109</v>
      </c>
      <c r="G1" s="97" t="s">
        <v>110</v>
      </c>
      <c r="H1" s="97" t="s">
        <v>111</v>
      </c>
    </row>
    <row r="2" spans="1:8" ht="21" x14ac:dyDescent="0.4">
      <c r="A2" s="98" t="s">
        <v>112</v>
      </c>
      <c r="B2" s="98">
        <v>0</v>
      </c>
      <c r="C2" s="99">
        <v>44970</v>
      </c>
      <c r="D2" s="98">
        <v>2023</v>
      </c>
      <c r="E2" s="100">
        <v>15</v>
      </c>
      <c r="F2" s="100">
        <f>E2-B2</f>
        <v>15</v>
      </c>
      <c r="G2" s="101">
        <v>15</v>
      </c>
      <c r="H2" s="101">
        <f>G2/15</f>
        <v>1</v>
      </c>
    </row>
    <row r="3" spans="1:8" ht="21" x14ac:dyDescent="0.4">
      <c r="A3" s="98" t="s">
        <v>22</v>
      </c>
      <c r="B3" s="98">
        <v>10.7</v>
      </c>
      <c r="C3" s="99">
        <v>44970</v>
      </c>
      <c r="D3" s="98">
        <v>2023</v>
      </c>
      <c r="E3" s="102">
        <f>IF(C3=C2,F2,F2+15)</f>
        <v>15</v>
      </c>
      <c r="F3" s="100">
        <f t="shared" ref="F3:F66" si="0">E3-B3</f>
        <v>4.3000000000000007</v>
      </c>
      <c r="G3" s="101">
        <f>IF(C3&lt;&gt;C2, 15+G2,G2)</f>
        <v>15</v>
      </c>
      <c r="H3" s="101">
        <f t="shared" ref="H3:H66" si="1">G3/15</f>
        <v>1</v>
      </c>
    </row>
    <row r="4" spans="1:8" ht="21" x14ac:dyDescent="0.4">
      <c r="A4" s="98" t="s">
        <v>22</v>
      </c>
      <c r="B4" s="98">
        <v>4.75</v>
      </c>
      <c r="C4" s="99">
        <v>44970</v>
      </c>
      <c r="D4" s="98">
        <v>2023</v>
      </c>
      <c r="E4" s="102">
        <f t="shared" ref="E4:E67" si="2">IF(C4=C3,F3,F3+15)</f>
        <v>4.3000000000000007</v>
      </c>
      <c r="F4" s="100">
        <f t="shared" si="0"/>
        <v>-0.44999999999999929</v>
      </c>
      <c r="G4" s="101">
        <f t="shared" ref="G4:G67" si="3">IF(C4&lt;&gt;C3, 15+G3,G3)</f>
        <v>15</v>
      </c>
      <c r="H4" s="101">
        <f t="shared" si="1"/>
        <v>1</v>
      </c>
    </row>
    <row r="5" spans="1:8" ht="21" x14ac:dyDescent="0.4">
      <c r="A5" s="98" t="s">
        <v>22</v>
      </c>
      <c r="B5" s="98">
        <v>3</v>
      </c>
      <c r="C5" s="99">
        <v>44970</v>
      </c>
      <c r="D5" s="98">
        <v>2023</v>
      </c>
      <c r="E5" s="102">
        <f t="shared" si="2"/>
        <v>-0.44999999999999929</v>
      </c>
      <c r="F5" s="100">
        <f t="shared" si="0"/>
        <v>-3.4499999999999993</v>
      </c>
      <c r="G5" s="101">
        <f t="shared" si="3"/>
        <v>15</v>
      </c>
      <c r="H5" s="101">
        <f t="shared" si="1"/>
        <v>1</v>
      </c>
    </row>
    <row r="6" spans="1:8" ht="21" x14ac:dyDescent="0.4">
      <c r="A6" s="98" t="s">
        <v>25</v>
      </c>
      <c r="B6" s="98">
        <v>6</v>
      </c>
      <c r="C6" s="99">
        <v>44971</v>
      </c>
      <c r="D6" s="98">
        <v>2023</v>
      </c>
      <c r="E6" s="102">
        <f t="shared" si="2"/>
        <v>11.55</v>
      </c>
      <c r="F6" s="100">
        <f t="shared" si="0"/>
        <v>5.5500000000000007</v>
      </c>
      <c r="G6" s="101">
        <f t="shared" si="3"/>
        <v>30</v>
      </c>
      <c r="H6" s="101">
        <f t="shared" si="1"/>
        <v>2</v>
      </c>
    </row>
    <row r="7" spans="1:8" ht="21" x14ac:dyDescent="0.4">
      <c r="A7" s="98" t="s">
        <v>22</v>
      </c>
      <c r="B7" s="98">
        <v>13.625</v>
      </c>
      <c r="C7" s="99">
        <v>44971</v>
      </c>
      <c r="D7" s="98">
        <v>2023</v>
      </c>
      <c r="E7" s="102">
        <f t="shared" si="2"/>
        <v>5.5500000000000007</v>
      </c>
      <c r="F7" s="100">
        <f t="shared" si="0"/>
        <v>-8.0749999999999993</v>
      </c>
      <c r="G7" s="101">
        <f t="shared" si="3"/>
        <v>30</v>
      </c>
      <c r="H7" s="101">
        <f t="shared" si="1"/>
        <v>2</v>
      </c>
    </row>
    <row r="8" spans="1:8" ht="21" x14ac:dyDescent="0.4">
      <c r="A8" s="98" t="s">
        <v>25</v>
      </c>
      <c r="B8" s="98">
        <v>6</v>
      </c>
      <c r="C8" s="99">
        <v>44972</v>
      </c>
      <c r="D8" s="98">
        <v>2023</v>
      </c>
      <c r="E8" s="102">
        <f t="shared" si="2"/>
        <v>6.9250000000000007</v>
      </c>
      <c r="F8" s="100">
        <f t="shared" si="0"/>
        <v>0.92500000000000071</v>
      </c>
      <c r="G8" s="101">
        <f t="shared" si="3"/>
        <v>45</v>
      </c>
      <c r="H8" s="101">
        <f t="shared" si="1"/>
        <v>3</v>
      </c>
    </row>
    <row r="9" spans="1:8" ht="21" x14ac:dyDescent="0.4">
      <c r="A9" s="98" t="s">
        <v>22</v>
      </c>
      <c r="B9" s="98">
        <v>31.2</v>
      </c>
      <c r="C9" s="99">
        <v>44972</v>
      </c>
      <c r="D9" s="98">
        <v>2023</v>
      </c>
      <c r="E9" s="102">
        <f t="shared" si="2"/>
        <v>0.92500000000000071</v>
      </c>
      <c r="F9" s="100">
        <f t="shared" si="0"/>
        <v>-30.274999999999999</v>
      </c>
      <c r="G9" s="101">
        <f t="shared" si="3"/>
        <v>45</v>
      </c>
      <c r="H9" s="101">
        <f t="shared" si="1"/>
        <v>3</v>
      </c>
    </row>
    <row r="10" spans="1:8" ht="21" x14ac:dyDescent="0.4">
      <c r="A10" s="98" t="s">
        <v>25</v>
      </c>
      <c r="B10" s="98">
        <v>1.5</v>
      </c>
      <c r="C10" s="99">
        <v>44973</v>
      </c>
      <c r="D10" s="98">
        <v>2023</v>
      </c>
      <c r="E10" s="102">
        <f t="shared" si="2"/>
        <v>-15.274999999999999</v>
      </c>
      <c r="F10" s="100">
        <f t="shared" si="0"/>
        <v>-16.774999999999999</v>
      </c>
      <c r="G10" s="101">
        <f t="shared" si="3"/>
        <v>60</v>
      </c>
      <c r="H10" s="101">
        <f t="shared" si="1"/>
        <v>4</v>
      </c>
    </row>
    <row r="11" spans="1:8" ht="21" x14ac:dyDescent="0.4">
      <c r="A11" s="98" t="s">
        <v>22</v>
      </c>
      <c r="B11" s="98">
        <v>5.05</v>
      </c>
      <c r="C11" s="99">
        <v>44973</v>
      </c>
      <c r="D11" s="98">
        <v>2023</v>
      </c>
      <c r="E11" s="102">
        <f t="shared" si="2"/>
        <v>-16.774999999999999</v>
      </c>
      <c r="F11" s="100">
        <f t="shared" si="0"/>
        <v>-21.824999999999999</v>
      </c>
      <c r="G11" s="101">
        <f>IF(C11&lt;&gt;C10, 15+G10,G10)</f>
        <v>60</v>
      </c>
      <c r="H11" s="101">
        <f t="shared" si="1"/>
        <v>4</v>
      </c>
    </row>
    <row r="12" spans="1:8" ht="21" x14ac:dyDescent="0.4">
      <c r="A12" s="98" t="s">
        <v>25</v>
      </c>
      <c r="B12" s="98">
        <v>6</v>
      </c>
      <c r="C12" s="99">
        <v>44974</v>
      </c>
      <c r="D12" s="98">
        <v>2023</v>
      </c>
      <c r="E12" s="102">
        <f t="shared" si="2"/>
        <v>-6.8249999999999993</v>
      </c>
      <c r="F12" s="100">
        <f t="shared" si="0"/>
        <v>-12.824999999999999</v>
      </c>
      <c r="G12" s="101">
        <f t="shared" si="3"/>
        <v>75</v>
      </c>
      <c r="H12" s="101">
        <f t="shared" si="1"/>
        <v>5</v>
      </c>
    </row>
    <row r="13" spans="1:8" ht="21" x14ac:dyDescent="0.4">
      <c r="A13" s="98" t="s">
        <v>22</v>
      </c>
      <c r="B13" s="98">
        <v>3.3</v>
      </c>
      <c r="C13" s="99">
        <v>44974</v>
      </c>
      <c r="D13" s="98">
        <v>2023</v>
      </c>
      <c r="E13" s="102">
        <f t="shared" si="2"/>
        <v>-12.824999999999999</v>
      </c>
      <c r="F13" s="100">
        <f t="shared" si="0"/>
        <v>-16.125</v>
      </c>
      <c r="G13" s="101">
        <f t="shared" si="3"/>
        <v>75</v>
      </c>
      <c r="H13" s="101">
        <f t="shared" si="1"/>
        <v>5</v>
      </c>
    </row>
    <row r="14" spans="1:8" ht="21" x14ac:dyDescent="0.4">
      <c r="A14" s="98" t="s">
        <v>25</v>
      </c>
      <c r="B14" s="98">
        <v>1.5</v>
      </c>
      <c r="C14" s="99">
        <v>44975</v>
      </c>
      <c r="D14" s="98">
        <v>2023</v>
      </c>
      <c r="E14" s="102">
        <f t="shared" si="2"/>
        <v>-1.125</v>
      </c>
      <c r="F14" s="100">
        <f t="shared" si="0"/>
        <v>-2.625</v>
      </c>
      <c r="G14" s="101">
        <f t="shared" si="3"/>
        <v>90</v>
      </c>
      <c r="H14" s="101">
        <f t="shared" si="1"/>
        <v>6</v>
      </c>
    </row>
    <row r="15" spans="1:8" ht="21" x14ac:dyDescent="0.4">
      <c r="A15" s="98" t="s">
        <v>25</v>
      </c>
      <c r="B15" s="98">
        <v>2</v>
      </c>
      <c r="C15" s="99">
        <v>44976</v>
      </c>
      <c r="D15" s="98">
        <v>2023</v>
      </c>
      <c r="E15" s="102">
        <f t="shared" si="2"/>
        <v>12.375</v>
      </c>
      <c r="F15" s="100">
        <f t="shared" si="0"/>
        <v>10.375</v>
      </c>
      <c r="G15" s="101">
        <f t="shared" si="3"/>
        <v>105</v>
      </c>
      <c r="H15" s="101">
        <f t="shared" si="1"/>
        <v>7</v>
      </c>
    </row>
    <row r="16" spans="1:8" ht="21" x14ac:dyDescent="0.4">
      <c r="A16" s="98" t="s">
        <v>25</v>
      </c>
      <c r="B16" s="98">
        <v>25.75</v>
      </c>
      <c r="C16" s="99">
        <v>44976</v>
      </c>
      <c r="D16" s="98">
        <v>2023</v>
      </c>
      <c r="E16" s="102">
        <f t="shared" si="2"/>
        <v>10.375</v>
      </c>
      <c r="F16" s="100">
        <f t="shared" si="0"/>
        <v>-15.375</v>
      </c>
      <c r="G16" s="101">
        <f t="shared" si="3"/>
        <v>105</v>
      </c>
      <c r="H16" s="101">
        <f t="shared" si="1"/>
        <v>7</v>
      </c>
    </row>
    <row r="17" spans="1:8" ht="21" x14ac:dyDescent="0.4">
      <c r="A17" s="98" t="s">
        <v>25</v>
      </c>
      <c r="B17" s="98">
        <v>6</v>
      </c>
      <c r="C17" s="99">
        <v>44977</v>
      </c>
      <c r="D17" s="98">
        <v>2023</v>
      </c>
      <c r="E17" s="102">
        <f t="shared" si="2"/>
        <v>-0.375</v>
      </c>
      <c r="F17" s="100">
        <f t="shared" si="0"/>
        <v>-6.375</v>
      </c>
      <c r="G17" s="101">
        <f t="shared" si="3"/>
        <v>120</v>
      </c>
      <c r="H17" s="101">
        <f t="shared" si="1"/>
        <v>8</v>
      </c>
    </row>
    <row r="18" spans="1:8" ht="21" x14ac:dyDescent="0.4">
      <c r="A18" s="98" t="s">
        <v>25</v>
      </c>
      <c r="B18" s="98">
        <v>1</v>
      </c>
      <c r="C18" s="99">
        <v>44977</v>
      </c>
      <c r="D18" s="98">
        <v>2023</v>
      </c>
      <c r="E18" s="102">
        <f t="shared" si="2"/>
        <v>-6.375</v>
      </c>
      <c r="F18" s="100">
        <f t="shared" si="0"/>
        <v>-7.375</v>
      </c>
      <c r="G18" s="101">
        <f t="shared" si="3"/>
        <v>120</v>
      </c>
      <c r="H18" s="101">
        <f t="shared" si="1"/>
        <v>8</v>
      </c>
    </row>
    <row r="19" spans="1:8" ht="21" x14ac:dyDescent="0.4">
      <c r="A19" s="98" t="s">
        <v>25</v>
      </c>
      <c r="B19" s="98">
        <v>3</v>
      </c>
      <c r="C19" s="99">
        <v>44978</v>
      </c>
      <c r="D19" s="98">
        <v>2023</v>
      </c>
      <c r="E19" s="102">
        <f t="shared" si="2"/>
        <v>7.625</v>
      </c>
      <c r="F19" s="100">
        <f t="shared" si="0"/>
        <v>4.625</v>
      </c>
      <c r="G19" s="101">
        <f t="shared" si="3"/>
        <v>135</v>
      </c>
      <c r="H19" s="101">
        <f t="shared" si="1"/>
        <v>9</v>
      </c>
    </row>
    <row r="20" spans="1:8" ht="21" x14ac:dyDescent="0.4">
      <c r="A20" s="98" t="s">
        <v>25</v>
      </c>
      <c r="B20" s="98">
        <v>6</v>
      </c>
      <c r="C20" s="99">
        <v>44979</v>
      </c>
      <c r="D20" s="98">
        <v>2023</v>
      </c>
      <c r="E20" s="102">
        <f t="shared" si="2"/>
        <v>19.625</v>
      </c>
      <c r="F20" s="100">
        <f t="shared" si="0"/>
        <v>13.625</v>
      </c>
      <c r="G20" s="101">
        <f t="shared" si="3"/>
        <v>150</v>
      </c>
      <c r="H20" s="101">
        <f t="shared" si="1"/>
        <v>10</v>
      </c>
    </row>
    <row r="21" spans="1:8" ht="21" x14ac:dyDescent="0.4">
      <c r="A21" s="98" t="s">
        <v>22</v>
      </c>
      <c r="B21" s="98">
        <v>1.8</v>
      </c>
      <c r="C21" s="99">
        <v>44979</v>
      </c>
      <c r="D21" s="98">
        <v>2023</v>
      </c>
      <c r="E21" s="102">
        <f t="shared" si="2"/>
        <v>13.625</v>
      </c>
      <c r="F21" s="100">
        <f t="shared" si="0"/>
        <v>11.824999999999999</v>
      </c>
      <c r="G21" s="101">
        <f t="shared" si="3"/>
        <v>150</v>
      </c>
      <c r="H21" s="101">
        <f t="shared" si="1"/>
        <v>10</v>
      </c>
    </row>
    <row r="22" spans="1:8" ht="21" x14ac:dyDescent="0.4">
      <c r="A22" s="98" t="s">
        <v>25</v>
      </c>
      <c r="B22" s="98">
        <v>1</v>
      </c>
      <c r="C22" s="99">
        <v>44980</v>
      </c>
      <c r="D22" s="98">
        <v>2023</v>
      </c>
      <c r="E22" s="102">
        <f t="shared" si="2"/>
        <v>26.824999999999999</v>
      </c>
      <c r="F22" s="100">
        <f t="shared" si="0"/>
        <v>25.824999999999999</v>
      </c>
      <c r="G22" s="101">
        <f t="shared" si="3"/>
        <v>165</v>
      </c>
      <c r="H22" s="101">
        <f t="shared" si="1"/>
        <v>11</v>
      </c>
    </row>
    <row r="23" spans="1:8" ht="21" x14ac:dyDescent="0.4">
      <c r="A23" s="98" t="s">
        <v>25</v>
      </c>
      <c r="B23" s="98">
        <v>4.5</v>
      </c>
      <c r="C23" s="99">
        <v>44980</v>
      </c>
      <c r="D23" s="98">
        <v>2023</v>
      </c>
      <c r="E23" s="102">
        <f t="shared" si="2"/>
        <v>25.824999999999999</v>
      </c>
      <c r="F23" s="100">
        <f t="shared" si="0"/>
        <v>21.324999999999999</v>
      </c>
      <c r="G23" s="101">
        <f t="shared" si="3"/>
        <v>165</v>
      </c>
      <c r="H23" s="101">
        <f t="shared" si="1"/>
        <v>11</v>
      </c>
    </row>
    <row r="24" spans="1:8" ht="21" x14ac:dyDescent="0.4">
      <c r="A24" s="98" t="s">
        <v>25</v>
      </c>
      <c r="B24" s="98">
        <v>4.5</v>
      </c>
      <c r="C24" s="99">
        <v>44981</v>
      </c>
      <c r="D24" s="98">
        <v>2023</v>
      </c>
      <c r="E24" s="102">
        <f t="shared" si="2"/>
        <v>36.325000000000003</v>
      </c>
      <c r="F24" s="100">
        <f t="shared" si="0"/>
        <v>31.825000000000003</v>
      </c>
      <c r="G24" s="101">
        <f t="shared" si="3"/>
        <v>180</v>
      </c>
      <c r="H24" s="101">
        <f t="shared" si="1"/>
        <v>12</v>
      </c>
    </row>
    <row r="25" spans="1:8" ht="21" x14ac:dyDescent="0.4">
      <c r="A25" s="98" t="s">
        <v>25</v>
      </c>
      <c r="B25" s="98">
        <v>1</v>
      </c>
      <c r="C25" s="99">
        <v>44981</v>
      </c>
      <c r="D25" s="98">
        <v>2023</v>
      </c>
      <c r="E25" s="102">
        <f t="shared" si="2"/>
        <v>31.825000000000003</v>
      </c>
      <c r="F25" s="100">
        <f t="shared" si="0"/>
        <v>30.825000000000003</v>
      </c>
      <c r="G25" s="101">
        <f t="shared" si="3"/>
        <v>180</v>
      </c>
      <c r="H25" s="101">
        <f t="shared" si="1"/>
        <v>12</v>
      </c>
    </row>
    <row r="26" spans="1:8" ht="21" x14ac:dyDescent="0.4">
      <c r="A26" s="98" t="s">
        <v>22</v>
      </c>
      <c r="B26" s="98">
        <v>0.9</v>
      </c>
      <c r="C26" s="99">
        <v>44981</v>
      </c>
      <c r="D26" s="98">
        <v>2023</v>
      </c>
      <c r="E26" s="102">
        <f t="shared" si="2"/>
        <v>30.825000000000003</v>
      </c>
      <c r="F26" s="100">
        <f t="shared" si="0"/>
        <v>29.925000000000004</v>
      </c>
      <c r="G26" s="101">
        <f t="shared" si="3"/>
        <v>180</v>
      </c>
      <c r="H26" s="101">
        <f t="shared" si="1"/>
        <v>12</v>
      </c>
    </row>
    <row r="27" spans="1:8" ht="21" x14ac:dyDescent="0.4">
      <c r="A27" s="98" t="s">
        <v>25</v>
      </c>
      <c r="B27" s="98">
        <v>1.5</v>
      </c>
      <c r="C27" s="99">
        <v>44982</v>
      </c>
      <c r="D27" s="98">
        <v>2023</v>
      </c>
      <c r="E27" s="102">
        <f t="shared" si="2"/>
        <v>44.925000000000004</v>
      </c>
      <c r="F27" s="100">
        <f t="shared" si="0"/>
        <v>43.425000000000004</v>
      </c>
      <c r="G27" s="101">
        <f t="shared" si="3"/>
        <v>195</v>
      </c>
      <c r="H27" s="101">
        <f t="shared" si="1"/>
        <v>13</v>
      </c>
    </row>
    <row r="28" spans="1:8" ht="21" x14ac:dyDescent="0.4">
      <c r="A28" s="98" t="s">
        <v>25</v>
      </c>
      <c r="B28" s="98">
        <v>1</v>
      </c>
      <c r="C28" s="99">
        <v>44982</v>
      </c>
      <c r="D28" s="98">
        <v>2023</v>
      </c>
      <c r="E28" s="102">
        <f t="shared" si="2"/>
        <v>43.425000000000004</v>
      </c>
      <c r="F28" s="100">
        <f t="shared" si="0"/>
        <v>42.425000000000004</v>
      </c>
      <c r="G28" s="101">
        <f t="shared" si="3"/>
        <v>195</v>
      </c>
      <c r="H28" s="101">
        <f t="shared" si="1"/>
        <v>13</v>
      </c>
    </row>
    <row r="29" spans="1:8" ht="21" x14ac:dyDescent="0.4">
      <c r="A29" s="98" t="s">
        <v>25</v>
      </c>
      <c r="B29" s="98">
        <v>25.7</v>
      </c>
      <c r="C29" s="99">
        <v>44982</v>
      </c>
      <c r="D29" s="98">
        <v>2023</v>
      </c>
      <c r="E29" s="102">
        <f t="shared" si="2"/>
        <v>42.425000000000004</v>
      </c>
      <c r="F29" s="100">
        <f t="shared" si="0"/>
        <v>16.725000000000005</v>
      </c>
      <c r="G29" s="101">
        <f t="shared" si="3"/>
        <v>195</v>
      </c>
      <c r="H29" s="101">
        <f t="shared" si="1"/>
        <v>13</v>
      </c>
    </row>
    <row r="30" spans="1:8" ht="21" x14ac:dyDescent="0.4">
      <c r="A30" s="98" t="s">
        <v>25</v>
      </c>
      <c r="B30" s="98">
        <v>6</v>
      </c>
      <c r="C30" s="99">
        <v>44983</v>
      </c>
      <c r="D30" s="98">
        <v>2023</v>
      </c>
      <c r="E30" s="102">
        <f t="shared" si="2"/>
        <v>31.725000000000005</v>
      </c>
      <c r="F30" s="100">
        <f t="shared" si="0"/>
        <v>25.725000000000005</v>
      </c>
      <c r="G30" s="101">
        <f t="shared" si="3"/>
        <v>210</v>
      </c>
      <c r="H30" s="101">
        <f t="shared" si="1"/>
        <v>14</v>
      </c>
    </row>
    <row r="31" spans="1:8" ht="21" x14ac:dyDescent="0.4">
      <c r="A31" s="98" t="s">
        <v>22</v>
      </c>
      <c r="B31" s="98">
        <v>14.9</v>
      </c>
      <c r="C31" s="99">
        <v>44983</v>
      </c>
      <c r="D31" s="98">
        <v>2023</v>
      </c>
      <c r="E31" s="102">
        <f t="shared" si="2"/>
        <v>25.725000000000005</v>
      </c>
      <c r="F31" s="100">
        <f t="shared" si="0"/>
        <v>10.825000000000005</v>
      </c>
      <c r="G31" s="101">
        <f t="shared" si="3"/>
        <v>210</v>
      </c>
      <c r="H31" s="101">
        <f t="shared" si="1"/>
        <v>14</v>
      </c>
    </row>
    <row r="32" spans="1:8" ht="21" x14ac:dyDescent="0.4">
      <c r="A32" s="98" t="s">
        <v>25</v>
      </c>
      <c r="B32" s="98">
        <v>6</v>
      </c>
      <c r="C32" s="99">
        <v>44984</v>
      </c>
      <c r="D32" s="98">
        <v>2023</v>
      </c>
      <c r="E32" s="102">
        <f t="shared" si="2"/>
        <v>25.825000000000003</v>
      </c>
      <c r="F32" s="100">
        <f t="shared" si="0"/>
        <v>19.825000000000003</v>
      </c>
      <c r="G32" s="101">
        <f t="shared" si="3"/>
        <v>225</v>
      </c>
      <c r="H32" s="101">
        <f t="shared" si="1"/>
        <v>15</v>
      </c>
    </row>
    <row r="33" spans="1:8" ht="21" x14ac:dyDescent="0.4">
      <c r="A33" s="98" t="s">
        <v>25</v>
      </c>
      <c r="B33" s="98">
        <v>1</v>
      </c>
      <c r="C33" s="99">
        <v>44984</v>
      </c>
      <c r="D33" s="98">
        <v>2023</v>
      </c>
      <c r="E33" s="102">
        <f t="shared" si="2"/>
        <v>19.825000000000003</v>
      </c>
      <c r="F33" s="100">
        <f t="shared" si="0"/>
        <v>18.825000000000003</v>
      </c>
      <c r="G33" s="101">
        <f t="shared" si="3"/>
        <v>225</v>
      </c>
      <c r="H33" s="101">
        <f t="shared" si="1"/>
        <v>15</v>
      </c>
    </row>
    <row r="34" spans="1:8" ht="21" x14ac:dyDescent="0.4">
      <c r="A34" s="98" t="s">
        <v>112</v>
      </c>
      <c r="B34" s="98">
        <v>0</v>
      </c>
      <c r="C34" s="99">
        <v>44985</v>
      </c>
      <c r="D34" s="98">
        <v>2023</v>
      </c>
      <c r="E34" s="102">
        <f t="shared" si="2"/>
        <v>33.825000000000003</v>
      </c>
      <c r="F34" s="100">
        <f t="shared" si="0"/>
        <v>33.825000000000003</v>
      </c>
      <c r="G34" s="101">
        <f t="shared" si="3"/>
        <v>240</v>
      </c>
      <c r="H34" s="101">
        <f t="shared" si="1"/>
        <v>16</v>
      </c>
    </row>
    <row r="35" spans="1:8" ht="21" x14ac:dyDescent="0.4">
      <c r="A35" s="103" t="s">
        <v>25</v>
      </c>
      <c r="B35" s="103">
        <v>1</v>
      </c>
      <c r="C35" s="104">
        <v>44986</v>
      </c>
      <c r="D35" s="98">
        <v>2023</v>
      </c>
      <c r="E35" s="102">
        <f t="shared" si="2"/>
        <v>48.825000000000003</v>
      </c>
      <c r="F35" s="100">
        <f t="shared" si="0"/>
        <v>47.825000000000003</v>
      </c>
      <c r="G35" s="101">
        <f t="shared" si="3"/>
        <v>255</v>
      </c>
      <c r="H35" s="101">
        <f t="shared" si="1"/>
        <v>17</v>
      </c>
    </row>
    <row r="36" spans="1:8" ht="21" x14ac:dyDescent="0.4">
      <c r="A36" s="103" t="s">
        <v>25</v>
      </c>
      <c r="B36" s="103">
        <v>1</v>
      </c>
      <c r="C36" s="104">
        <v>44986</v>
      </c>
      <c r="D36" s="98">
        <v>2023</v>
      </c>
      <c r="E36" s="102">
        <f t="shared" si="2"/>
        <v>47.825000000000003</v>
      </c>
      <c r="F36" s="100">
        <f t="shared" si="0"/>
        <v>46.825000000000003</v>
      </c>
      <c r="G36" s="101">
        <f t="shared" si="3"/>
        <v>255</v>
      </c>
      <c r="H36" s="101">
        <f t="shared" si="1"/>
        <v>17</v>
      </c>
    </row>
    <row r="37" spans="1:8" ht="21" x14ac:dyDescent="0.4">
      <c r="A37" s="103" t="s">
        <v>25</v>
      </c>
      <c r="B37" s="103">
        <v>0.5</v>
      </c>
      <c r="C37" s="104">
        <v>44986</v>
      </c>
      <c r="D37" s="98">
        <v>2023</v>
      </c>
      <c r="E37" s="102">
        <f t="shared" si="2"/>
        <v>46.825000000000003</v>
      </c>
      <c r="F37" s="100">
        <f t="shared" si="0"/>
        <v>46.325000000000003</v>
      </c>
      <c r="G37" s="101">
        <f t="shared" si="3"/>
        <v>255</v>
      </c>
      <c r="H37" s="101">
        <f t="shared" si="1"/>
        <v>17</v>
      </c>
    </row>
    <row r="38" spans="1:8" ht="21" x14ac:dyDescent="0.4">
      <c r="A38" s="103" t="s">
        <v>25</v>
      </c>
      <c r="B38" s="103">
        <v>6</v>
      </c>
      <c r="C38" s="104">
        <v>44987</v>
      </c>
      <c r="D38" s="98">
        <v>2023</v>
      </c>
      <c r="E38" s="102">
        <f t="shared" si="2"/>
        <v>61.325000000000003</v>
      </c>
      <c r="F38" s="100">
        <f t="shared" si="0"/>
        <v>55.325000000000003</v>
      </c>
      <c r="G38" s="101">
        <f t="shared" si="3"/>
        <v>270</v>
      </c>
      <c r="H38" s="101">
        <f t="shared" si="1"/>
        <v>18</v>
      </c>
    </row>
    <row r="39" spans="1:8" ht="21" x14ac:dyDescent="0.4">
      <c r="A39" s="103" t="s">
        <v>25</v>
      </c>
      <c r="B39" s="103">
        <v>1</v>
      </c>
      <c r="C39" s="104">
        <v>44988</v>
      </c>
      <c r="D39" s="98">
        <v>2023</v>
      </c>
      <c r="E39" s="102">
        <f t="shared" si="2"/>
        <v>70.325000000000003</v>
      </c>
      <c r="F39" s="100">
        <f t="shared" si="0"/>
        <v>69.325000000000003</v>
      </c>
      <c r="G39" s="101">
        <f t="shared" si="3"/>
        <v>285</v>
      </c>
      <c r="H39" s="101">
        <f t="shared" si="1"/>
        <v>19</v>
      </c>
    </row>
    <row r="40" spans="1:8" ht="21" x14ac:dyDescent="0.4">
      <c r="A40" s="103" t="s">
        <v>112</v>
      </c>
      <c r="B40" s="103">
        <v>0</v>
      </c>
      <c r="C40" s="104">
        <v>44989</v>
      </c>
      <c r="D40" s="98">
        <v>2023</v>
      </c>
      <c r="E40" s="102">
        <f t="shared" si="2"/>
        <v>84.325000000000003</v>
      </c>
      <c r="F40" s="100">
        <f t="shared" si="0"/>
        <v>84.325000000000003</v>
      </c>
      <c r="G40" s="101">
        <f t="shared" si="3"/>
        <v>300</v>
      </c>
      <c r="H40" s="101">
        <f t="shared" si="1"/>
        <v>20</v>
      </c>
    </row>
    <row r="41" spans="1:8" ht="21" x14ac:dyDescent="0.4">
      <c r="A41" s="103" t="s">
        <v>25</v>
      </c>
      <c r="B41" s="103">
        <v>1</v>
      </c>
      <c r="C41" s="104">
        <v>44990</v>
      </c>
      <c r="D41" s="98">
        <v>2023</v>
      </c>
      <c r="E41" s="102">
        <f t="shared" si="2"/>
        <v>99.325000000000003</v>
      </c>
      <c r="F41" s="100">
        <f t="shared" si="0"/>
        <v>98.325000000000003</v>
      </c>
      <c r="G41" s="101">
        <f t="shared" si="3"/>
        <v>315</v>
      </c>
      <c r="H41" s="101">
        <f t="shared" si="1"/>
        <v>21</v>
      </c>
    </row>
    <row r="42" spans="1:8" ht="21" x14ac:dyDescent="0.4">
      <c r="A42" s="103" t="s">
        <v>22</v>
      </c>
      <c r="B42" s="103">
        <v>5.9</v>
      </c>
      <c r="C42" s="104">
        <v>44990</v>
      </c>
      <c r="D42" s="98">
        <v>2023</v>
      </c>
      <c r="E42" s="102">
        <f t="shared" si="2"/>
        <v>98.325000000000003</v>
      </c>
      <c r="F42" s="100">
        <f t="shared" si="0"/>
        <v>92.424999999999997</v>
      </c>
      <c r="G42" s="101">
        <f t="shared" si="3"/>
        <v>315</v>
      </c>
      <c r="H42" s="101">
        <f t="shared" si="1"/>
        <v>21</v>
      </c>
    </row>
    <row r="43" spans="1:8" ht="21" x14ac:dyDescent="0.4">
      <c r="A43" s="103" t="s">
        <v>25</v>
      </c>
      <c r="B43" s="103">
        <v>6</v>
      </c>
      <c r="C43" s="104">
        <v>44991</v>
      </c>
      <c r="D43" s="98">
        <v>2023</v>
      </c>
      <c r="E43" s="102">
        <f t="shared" si="2"/>
        <v>107.425</v>
      </c>
      <c r="F43" s="100">
        <f t="shared" si="0"/>
        <v>101.425</v>
      </c>
      <c r="G43" s="101">
        <f t="shared" si="3"/>
        <v>330</v>
      </c>
      <c r="H43" s="101">
        <f t="shared" si="1"/>
        <v>22</v>
      </c>
    </row>
    <row r="44" spans="1:8" ht="21" x14ac:dyDescent="0.4">
      <c r="A44" s="103" t="s">
        <v>25</v>
      </c>
      <c r="B44" s="103">
        <v>1</v>
      </c>
      <c r="C44" s="104">
        <v>44992</v>
      </c>
      <c r="D44" s="98">
        <v>2023</v>
      </c>
      <c r="E44" s="102">
        <f t="shared" si="2"/>
        <v>116.425</v>
      </c>
      <c r="F44" s="100">
        <f t="shared" si="0"/>
        <v>115.425</v>
      </c>
      <c r="G44" s="101">
        <f t="shared" si="3"/>
        <v>345</v>
      </c>
      <c r="H44" s="101">
        <f t="shared" si="1"/>
        <v>23</v>
      </c>
    </row>
    <row r="45" spans="1:8" ht="21" x14ac:dyDescent="0.4">
      <c r="A45" s="103" t="s">
        <v>25</v>
      </c>
      <c r="B45" s="103">
        <v>1</v>
      </c>
      <c r="C45" s="104">
        <v>44992</v>
      </c>
      <c r="D45" s="98">
        <v>2023</v>
      </c>
      <c r="E45" s="102">
        <f t="shared" si="2"/>
        <v>115.425</v>
      </c>
      <c r="F45" s="100">
        <f t="shared" si="0"/>
        <v>114.425</v>
      </c>
      <c r="G45" s="101">
        <f t="shared" si="3"/>
        <v>345</v>
      </c>
      <c r="H45" s="101">
        <f t="shared" si="1"/>
        <v>23</v>
      </c>
    </row>
    <row r="46" spans="1:8" ht="21" x14ac:dyDescent="0.4">
      <c r="A46" s="103" t="s">
        <v>25</v>
      </c>
      <c r="B46" s="103">
        <v>1</v>
      </c>
      <c r="C46" s="104">
        <v>44993</v>
      </c>
      <c r="D46" s="98">
        <v>2023</v>
      </c>
      <c r="E46" s="102">
        <f t="shared" si="2"/>
        <v>129.42500000000001</v>
      </c>
      <c r="F46" s="100">
        <f t="shared" si="0"/>
        <v>128.42500000000001</v>
      </c>
      <c r="G46" s="101">
        <f t="shared" si="3"/>
        <v>360</v>
      </c>
      <c r="H46" s="101">
        <f t="shared" si="1"/>
        <v>24</v>
      </c>
    </row>
    <row r="47" spans="1:8" ht="21" x14ac:dyDescent="0.4">
      <c r="A47" s="103" t="s">
        <v>112</v>
      </c>
      <c r="B47" s="103">
        <v>0</v>
      </c>
      <c r="C47" s="104">
        <v>44994</v>
      </c>
      <c r="D47" s="98">
        <v>2023</v>
      </c>
      <c r="E47" s="102">
        <f t="shared" si="2"/>
        <v>143.42500000000001</v>
      </c>
      <c r="F47" s="100">
        <f t="shared" si="0"/>
        <v>143.42500000000001</v>
      </c>
      <c r="G47" s="101">
        <f t="shared" si="3"/>
        <v>375</v>
      </c>
      <c r="H47" s="101">
        <f t="shared" si="1"/>
        <v>25</v>
      </c>
    </row>
    <row r="48" spans="1:8" ht="21" x14ac:dyDescent="0.4">
      <c r="A48" s="103" t="s">
        <v>25</v>
      </c>
      <c r="B48" s="103">
        <v>1</v>
      </c>
      <c r="C48" s="104">
        <v>44995</v>
      </c>
      <c r="D48" s="98">
        <v>2023</v>
      </c>
      <c r="E48" s="102">
        <f t="shared" si="2"/>
        <v>158.42500000000001</v>
      </c>
      <c r="F48" s="100">
        <f t="shared" si="0"/>
        <v>157.42500000000001</v>
      </c>
      <c r="G48" s="101">
        <f t="shared" si="3"/>
        <v>390</v>
      </c>
      <c r="H48" s="101">
        <f t="shared" si="1"/>
        <v>26</v>
      </c>
    </row>
    <row r="49" spans="1:8" ht="21" x14ac:dyDescent="0.4">
      <c r="A49" s="103" t="s">
        <v>25</v>
      </c>
      <c r="B49" s="103">
        <v>6</v>
      </c>
      <c r="C49" s="104">
        <v>44995</v>
      </c>
      <c r="D49" s="98">
        <v>2023</v>
      </c>
      <c r="E49" s="102">
        <f t="shared" si="2"/>
        <v>157.42500000000001</v>
      </c>
      <c r="F49" s="100">
        <f t="shared" si="0"/>
        <v>151.42500000000001</v>
      </c>
      <c r="G49" s="101">
        <f t="shared" si="3"/>
        <v>390</v>
      </c>
      <c r="H49" s="101">
        <f t="shared" si="1"/>
        <v>26</v>
      </c>
    </row>
    <row r="50" spans="1:8" ht="21" x14ac:dyDescent="0.4">
      <c r="A50" s="103" t="s">
        <v>112</v>
      </c>
      <c r="B50" s="103">
        <v>0</v>
      </c>
      <c r="C50" s="104">
        <v>44996</v>
      </c>
      <c r="D50" s="98">
        <v>2023</v>
      </c>
      <c r="E50" s="102">
        <f t="shared" si="2"/>
        <v>166.42500000000001</v>
      </c>
      <c r="F50" s="100">
        <f t="shared" si="0"/>
        <v>166.42500000000001</v>
      </c>
      <c r="G50" s="101">
        <f t="shared" si="3"/>
        <v>405</v>
      </c>
      <c r="H50" s="101">
        <f t="shared" si="1"/>
        <v>27</v>
      </c>
    </row>
    <row r="51" spans="1:8" ht="21" x14ac:dyDescent="0.4">
      <c r="A51" s="103" t="s">
        <v>22</v>
      </c>
      <c r="B51" s="103">
        <v>1.85</v>
      </c>
      <c r="C51" s="104">
        <v>44996</v>
      </c>
      <c r="D51" s="98">
        <v>2023</v>
      </c>
      <c r="E51" s="102">
        <f t="shared" si="2"/>
        <v>166.42500000000001</v>
      </c>
      <c r="F51" s="100">
        <f t="shared" si="0"/>
        <v>164.57500000000002</v>
      </c>
      <c r="G51" s="101">
        <f t="shared" si="3"/>
        <v>405</v>
      </c>
      <c r="H51" s="101">
        <f t="shared" si="1"/>
        <v>27</v>
      </c>
    </row>
    <row r="52" spans="1:8" ht="21" x14ac:dyDescent="0.4">
      <c r="A52" s="103" t="s">
        <v>22</v>
      </c>
      <c r="B52" s="103">
        <v>8.4</v>
      </c>
      <c r="C52" s="104">
        <v>44996</v>
      </c>
      <c r="D52" s="98">
        <v>2023</v>
      </c>
      <c r="E52" s="102">
        <f t="shared" si="2"/>
        <v>164.57500000000002</v>
      </c>
      <c r="F52" s="100">
        <f t="shared" si="0"/>
        <v>156.17500000000001</v>
      </c>
      <c r="G52" s="101">
        <f t="shared" si="3"/>
        <v>405</v>
      </c>
      <c r="H52" s="101">
        <f t="shared" si="1"/>
        <v>27</v>
      </c>
    </row>
    <row r="53" spans="1:8" ht="21" x14ac:dyDescent="0.4">
      <c r="A53" s="103" t="s">
        <v>112</v>
      </c>
      <c r="B53" s="103">
        <v>0</v>
      </c>
      <c r="C53" s="104">
        <v>44997</v>
      </c>
      <c r="D53" s="98">
        <v>2023</v>
      </c>
      <c r="E53" s="102">
        <f t="shared" si="2"/>
        <v>171.17500000000001</v>
      </c>
      <c r="F53" s="100">
        <f t="shared" si="0"/>
        <v>171.17500000000001</v>
      </c>
      <c r="G53" s="101">
        <f t="shared" si="3"/>
        <v>420</v>
      </c>
      <c r="H53" s="101">
        <f t="shared" si="1"/>
        <v>28</v>
      </c>
    </row>
    <row r="54" spans="1:8" ht="21" x14ac:dyDescent="0.4">
      <c r="A54" s="103" t="s">
        <v>25</v>
      </c>
      <c r="B54" s="103">
        <v>1</v>
      </c>
      <c r="C54" s="104">
        <v>44998</v>
      </c>
      <c r="D54" s="98">
        <v>2023</v>
      </c>
      <c r="E54" s="102">
        <f t="shared" si="2"/>
        <v>186.17500000000001</v>
      </c>
      <c r="F54" s="100">
        <f t="shared" si="0"/>
        <v>185.17500000000001</v>
      </c>
      <c r="G54" s="101">
        <f t="shared" si="3"/>
        <v>435</v>
      </c>
      <c r="H54" s="101">
        <f t="shared" si="1"/>
        <v>29</v>
      </c>
    </row>
    <row r="55" spans="1:8" ht="21" x14ac:dyDescent="0.4">
      <c r="A55" s="103" t="s">
        <v>112</v>
      </c>
      <c r="B55" s="103">
        <v>0</v>
      </c>
      <c r="C55" s="104">
        <v>44999</v>
      </c>
      <c r="D55" s="98">
        <v>2023</v>
      </c>
      <c r="E55" s="102">
        <f t="shared" si="2"/>
        <v>200.17500000000001</v>
      </c>
      <c r="F55" s="100">
        <f t="shared" si="0"/>
        <v>200.17500000000001</v>
      </c>
      <c r="G55" s="101">
        <f t="shared" si="3"/>
        <v>450</v>
      </c>
      <c r="H55" s="101">
        <f t="shared" si="1"/>
        <v>30</v>
      </c>
    </row>
    <row r="56" spans="1:8" ht="21" x14ac:dyDescent="0.4">
      <c r="A56" s="103" t="s">
        <v>112</v>
      </c>
      <c r="B56" s="103">
        <v>0</v>
      </c>
      <c r="C56" s="104">
        <v>45000</v>
      </c>
      <c r="D56" s="98">
        <v>2023</v>
      </c>
      <c r="E56" s="102">
        <f t="shared" si="2"/>
        <v>215.17500000000001</v>
      </c>
      <c r="F56" s="100">
        <f t="shared" si="0"/>
        <v>215.17500000000001</v>
      </c>
      <c r="G56" s="101">
        <f t="shared" si="3"/>
        <v>465</v>
      </c>
      <c r="H56" s="101">
        <f t="shared" si="1"/>
        <v>31</v>
      </c>
    </row>
    <row r="57" spans="1:8" ht="21" x14ac:dyDescent="0.4">
      <c r="A57" s="103" t="s">
        <v>25</v>
      </c>
      <c r="B57" s="103">
        <v>1</v>
      </c>
      <c r="C57" s="104">
        <v>45001</v>
      </c>
      <c r="D57" s="98">
        <v>2023</v>
      </c>
      <c r="E57" s="102">
        <f t="shared" si="2"/>
        <v>230.17500000000001</v>
      </c>
      <c r="F57" s="100">
        <f t="shared" si="0"/>
        <v>229.17500000000001</v>
      </c>
      <c r="G57" s="101">
        <f t="shared" si="3"/>
        <v>480</v>
      </c>
      <c r="H57" s="101">
        <f t="shared" si="1"/>
        <v>32</v>
      </c>
    </row>
    <row r="58" spans="1:8" ht="21" x14ac:dyDescent="0.4">
      <c r="A58" s="103" t="s">
        <v>25</v>
      </c>
      <c r="B58" s="103">
        <v>1</v>
      </c>
      <c r="C58" s="104">
        <v>45002</v>
      </c>
      <c r="D58" s="98">
        <v>2023</v>
      </c>
      <c r="E58" s="102">
        <f t="shared" si="2"/>
        <v>244.17500000000001</v>
      </c>
      <c r="F58" s="100">
        <f t="shared" si="0"/>
        <v>243.17500000000001</v>
      </c>
      <c r="G58" s="101">
        <f t="shared" si="3"/>
        <v>495</v>
      </c>
      <c r="H58" s="101">
        <f t="shared" si="1"/>
        <v>33</v>
      </c>
    </row>
    <row r="59" spans="1:8" ht="21" x14ac:dyDescent="0.4">
      <c r="A59" s="103" t="s">
        <v>25</v>
      </c>
      <c r="B59" s="103">
        <v>1</v>
      </c>
      <c r="C59" s="104">
        <v>45003</v>
      </c>
      <c r="D59" s="98">
        <v>2023</v>
      </c>
      <c r="E59" s="102">
        <f t="shared" si="2"/>
        <v>258.17500000000001</v>
      </c>
      <c r="F59" s="100">
        <f t="shared" si="0"/>
        <v>257.17500000000001</v>
      </c>
      <c r="G59" s="101">
        <f t="shared" si="3"/>
        <v>510</v>
      </c>
      <c r="H59" s="101">
        <f t="shared" si="1"/>
        <v>34</v>
      </c>
    </row>
    <row r="60" spans="1:8" ht="21" x14ac:dyDescent="0.4">
      <c r="A60" s="103" t="s">
        <v>25</v>
      </c>
      <c r="B60" s="103">
        <v>3</v>
      </c>
      <c r="C60" s="104">
        <v>45003</v>
      </c>
      <c r="D60" s="98">
        <v>2023</v>
      </c>
      <c r="E60" s="102">
        <f t="shared" si="2"/>
        <v>257.17500000000001</v>
      </c>
      <c r="F60" s="100">
        <f t="shared" si="0"/>
        <v>254.17500000000001</v>
      </c>
      <c r="G60" s="101">
        <f t="shared" si="3"/>
        <v>510</v>
      </c>
      <c r="H60" s="101">
        <f t="shared" si="1"/>
        <v>34</v>
      </c>
    </row>
    <row r="61" spans="1:8" ht="21" x14ac:dyDescent="0.4">
      <c r="A61" s="103" t="s">
        <v>25</v>
      </c>
      <c r="B61" s="103">
        <v>12.7</v>
      </c>
      <c r="C61" s="104">
        <v>45003</v>
      </c>
      <c r="D61" s="98">
        <v>2023</v>
      </c>
      <c r="E61" s="102">
        <f t="shared" si="2"/>
        <v>254.17500000000001</v>
      </c>
      <c r="F61" s="100">
        <f t="shared" si="0"/>
        <v>241.47500000000002</v>
      </c>
      <c r="G61" s="101">
        <f t="shared" si="3"/>
        <v>510</v>
      </c>
      <c r="H61" s="101">
        <f t="shared" si="1"/>
        <v>34</v>
      </c>
    </row>
    <row r="62" spans="1:8" ht="21" x14ac:dyDescent="0.4">
      <c r="A62" s="103" t="s">
        <v>22</v>
      </c>
      <c r="B62" s="103">
        <v>9.1750000000000007</v>
      </c>
      <c r="C62" s="104">
        <v>45003</v>
      </c>
      <c r="D62" s="98">
        <v>2023</v>
      </c>
      <c r="E62" s="102">
        <f t="shared" si="2"/>
        <v>241.47500000000002</v>
      </c>
      <c r="F62" s="100">
        <f t="shared" si="0"/>
        <v>232.3</v>
      </c>
      <c r="G62" s="101">
        <f t="shared" si="3"/>
        <v>510</v>
      </c>
      <c r="H62" s="101">
        <f t="shared" si="1"/>
        <v>34</v>
      </c>
    </row>
    <row r="63" spans="1:8" ht="21" x14ac:dyDescent="0.4">
      <c r="A63" s="103" t="s">
        <v>22</v>
      </c>
      <c r="B63" s="103">
        <v>8.7750000000000004</v>
      </c>
      <c r="C63" s="104">
        <v>45003</v>
      </c>
      <c r="D63" s="98">
        <v>2023</v>
      </c>
      <c r="E63" s="102">
        <f t="shared" si="2"/>
        <v>232.3</v>
      </c>
      <c r="F63" s="100">
        <f t="shared" si="0"/>
        <v>223.52500000000001</v>
      </c>
      <c r="G63" s="101">
        <f t="shared" si="3"/>
        <v>510</v>
      </c>
      <c r="H63" s="101">
        <f t="shared" si="1"/>
        <v>34</v>
      </c>
    </row>
    <row r="64" spans="1:8" ht="21" x14ac:dyDescent="0.4">
      <c r="A64" s="103" t="s">
        <v>25</v>
      </c>
      <c r="B64" s="103">
        <v>1</v>
      </c>
      <c r="C64" s="104">
        <v>45004</v>
      </c>
      <c r="D64" s="98">
        <v>2023</v>
      </c>
      <c r="E64" s="102">
        <f t="shared" si="2"/>
        <v>238.52500000000001</v>
      </c>
      <c r="F64" s="100">
        <f t="shared" si="0"/>
        <v>237.52500000000001</v>
      </c>
      <c r="G64" s="101">
        <f t="shared" si="3"/>
        <v>525</v>
      </c>
      <c r="H64" s="101">
        <f t="shared" si="1"/>
        <v>35</v>
      </c>
    </row>
    <row r="65" spans="1:8" ht="21" x14ac:dyDescent="0.4">
      <c r="A65" s="103" t="s">
        <v>25</v>
      </c>
      <c r="B65" s="103">
        <v>8.6199999999999992</v>
      </c>
      <c r="C65" s="104">
        <v>45004</v>
      </c>
      <c r="D65" s="98">
        <v>2023</v>
      </c>
      <c r="E65" s="102">
        <f t="shared" si="2"/>
        <v>237.52500000000001</v>
      </c>
      <c r="F65" s="100">
        <f t="shared" si="0"/>
        <v>228.905</v>
      </c>
      <c r="G65" s="101">
        <f t="shared" si="3"/>
        <v>525</v>
      </c>
      <c r="H65" s="101">
        <f t="shared" si="1"/>
        <v>35</v>
      </c>
    </row>
    <row r="66" spans="1:8" ht="21" x14ac:dyDescent="0.4">
      <c r="A66" s="103" t="s">
        <v>25</v>
      </c>
      <c r="B66" s="103">
        <v>1</v>
      </c>
      <c r="C66" s="104">
        <v>45005</v>
      </c>
      <c r="D66" s="98">
        <v>2023</v>
      </c>
      <c r="E66" s="102">
        <f t="shared" si="2"/>
        <v>243.905</v>
      </c>
      <c r="F66" s="100">
        <f t="shared" si="0"/>
        <v>242.905</v>
      </c>
      <c r="G66" s="101">
        <f t="shared" si="3"/>
        <v>540</v>
      </c>
      <c r="H66" s="101">
        <f t="shared" si="1"/>
        <v>36</v>
      </c>
    </row>
    <row r="67" spans="1:8" ht="21" x14ac:dyDescent="0.4">
      <c r="A67" s="103" t="s">
        <v>25</v>
      </c>
      <c r="B67" s="103">
        <v>2</v>
      </c>
      <c r="C67" s="104">
        <v>45006</v>
      </c>
      <c r="D67" s="98">
        <v>2023</v>
      </c>
      <c r="E67" s="102">
        <f t="shared" si="2"/>
        <v>257.90499999999997</v>
      </c>
      <c r="F67" s="100">
        <f t="shared" ref="F67:F130" si="4">E67-B67</f>
        <v>255.90499999999997</v>
      </c>
      <c r="G67" s="101">
        <f t="shared" si="3"/>
        <v>555</v>
      </c>
      <c r="H67" s="101">
        <f t="shared" ref="H67:H130" si="5">G67/15</f>
        <v>37</v>
      </c>
    </row>
    <row r="68" spans="1:8" ht="21" x14ac:dyDescent="0.4">
      <c r="A68" s="103" t="s">
        <v>25</v>
      </c>
      <c r="B68" s="103">
        <v>1</v>
      </c>
      <c r="C68" s="104">
        <v>45007</v>
      </c>
      <c r="D68" s="98">
        <v>2023</v>
      </c>
      <c r="E68" s="102">
        <f t="shared" ref="E68:E131" si="6">IF(C68=C67,F67,F67+15)</f>
        <v>270.90499999999997</v>
      </c>
      <c r="F68" s="100">
        <f t="shared" si="4"/>
        <v>269.90499999999997</v>
      </c>
      <c r="G68" s="101">
        <f t="shared" ref="G68:G131" si="7">IF(C68&lt;&gt;C67, 15+G67,G67)</f>
        <v>570</v>
      </c>
      <c r="H68" s="101">
        <f t="shared" si="5"/>
        <v>38</v>
      </c>
    </row>
    <row r="69" spans="1:8" ht="21" x14ac:dyDescent="0.4">
      <c r="A69" s="103" t="s">
        <v>25</v>
      </c>
      <c r="B69" s="103">
        <v>6</v>
      </c>
      <c r="C69" s="104">
        <v>45007</v>
      </c>
      <c r="D69" s="98">
        <v>2023</v>
      </c>
      <c r="E69" s="102">
        <f t="shared" si="6"/>
        <v>269.90499999999997</v>
      </c>
      <c r="F69" s="100">
        <f t="shared" si="4"/>
        <v>263.90499999999997</v>
      </c>
      <c r="G69" s="101">
        <f t="shared" si="7"/>
        <v>570</v>
      </c>
      <c r="H69" s="101">
        <f t="shared" si="5"/>
        <v>38</v>
      </c>
    </row>
    <row r="70" spans="1:8" ht="21" x14ac:dyDescent="0.4">
      <c r="A70" s="103" t="s">
        <v>25</v>
      </c>
      <c r="B70" s="103">
        <v>8</v>
      </c>
      <c r="C70" s="104">
        <v>45008</v>
      </c>
      <c r="D70" s="98">
        <v>2023</v>
      </c>
      <c r="E70" s="102">
        <f t="shared" si="6"/>
        <v>278.90499999999997</v>
      </c>
      <c r="F70" s="100">
        <f t="shared" si="4"/>
        <v>270.90499999999997</v>
      </c>
      <c r="G70" s="101">
        <f t="shared" si="7"/>
        <v>585</v>
      </c>
      <c r="H70" s="101">
        <f t="shared" si="5"/>
        <v>39</v>
      </c>
    </row>
    <row r="71" spans="1:8" ht="21" x14ac:dyDescent="0.4">
      <c r="A71" s="103" t="s">
        <v>25</v>
      </c>
      <c r="B71" s="103">
        <v>1</v>
      </c>
      <c r="C71" s="104">
        <v>45008</v>
      </c>
      <c r="D71" s="98">
        <v>2023</v>
      </c>
      <c r="E71" s="102">
        <f t="shared" si="6"/>
        <v>270.90499999999997</v>
      </c>
      <c r="F71" s="100">
        <f t="shared" si="4"/>
        <v>269.90499999999997</v>
      </c>
      <c r="G71" s="101">
        <f t="shared" si="7"/>
        <v>585</v>
      </c>
      <c r="H71" s="101">
        <f t="shared" si="5"/>
        <v>39</v>
      </c>
    </row>
    <row r="72" spans="1:8" ht="21" x14ac:dyDescent="0.4">
      <c r="A72" s="103" t="s">
        <v>112</v>
      </c>
      <c r="B72" s="103">
        <v>0</v>
      </c>
      <c r="C72" s="104">
        <v>45009</v>
      </c>
      <c r="D72" s="98">
        <v>2023</v>
      </c>
      <c r="E72" s="102">
        <f t="shared" si="6"/>
        <v>284.90499999999997</v>
      </c>
      <c r="F72" s="100">
        <f t="shared" si="4"/>
        <v>284.90499999999997</v>
      </c>
      <c r="G72" s="101">
        <f t="shared" si="7"/>
        <v>600</v>
      </c>
      <c r="H72" s="101">
        <f t="shared" si="5"/>
        <v>40</v>
      </c>
    </row>
    <row r="73" spans="1:8" ht="21" x14ac:dyDescent="0.4">
      <c r="A73" s="103" t="s">
        <v>25</v>
      </c>
      <c r="B73" s="103">
        <v>1</v>
      </c>
      <c r="C73" s="104">
        <v>45010</v>
      </c>
      <c r="D73" s="98">
        <v>2023</v>
      </c>
      <c r="E73" s="102">
        <f t="shared" si="6"/>
        <v>299.90499999999997</v>
      </c>
      <c r="F73" s="100">
        <f t="shared" si="4"/>
        <v>298.90499999999997</v>
      </c>
      <c r="G73" s="101">
        <f t="shared" si="7"/>
        <v>615</v>
      </c>
      <c r="H73" s="101">
        <f t="shared" si="5"/>
        <v>41</v>
      </c>
    </row>
    <row r="74" spans="1:8" ht="21" x14ac:dyDescent="0.4">
      <c r="A74" s="103" t="s">
        <v>25</v>
      </c>
      <c r="B74" s="103">
        <v>7.5</v>
      </c>
      <c r="C74" s="104">
        <v>45010</v>
      </c>
      <c r="D74" s="98">
        <v>2023</v>
      </c>
      <c r="E74" s="102">
        <f t="shared" si="6"/>
        <v>298.90499999999997</v>
      </c>
      <c r="F74" s="100">
        <f t="shared" si="4"/>
        <v>291.40499999999997</v>
      </c>
      <c r="G74" s="101">
        <f t="shared" si="7"/>
        <v>615</v>
      </c>
      <c r="H74" s="101">
        <f t="shared" si="5"/>
        <v>41</v>
      </c>
    </row>
    <row r="75" spans="1:8" ht="21" x14ac:dyDescent="0.4">
      <c r="A75" s="103" t="s">
        <v>112</v>
      </c>
      <c r="B75" s="103">
        <v>0</v>
      </c>
      <c r="C75" s="104">
        <v>45011</v>
      </c>
      <c r="D75" s="98">
        <v>2023</v>
      </c>
      <c r="E75" s="102">
        <f t="shared" si="6"/>
        <v>306.40499999999997</v>
      </c>
      <c r="F75" s="100">
        <f t="shared" si="4"/>
        <v>306.40499999999997</v>
      </c>
      <c r="G75" s="101">
        <f t="shared" si="7"/>
        <v>630</v>
      </c>
      <c r="H75" s="101">
        <f t="shared" si="5"/>
        <v>42</v>
      </c>
    </row>
    <row r="76" spans="1:8" ht="21" x14ac:dyDescent="0.4">
      <c r="A76" s="103" t="s">
        <v>22</v>
      </c>
      <c r="B76" s="103">
        <v>9.8000000000000007</v>
      </c>
      <c r="C76" s="104">
        <v>45011</v>
      </c>
      <c r="D76" s="98">
        <v>2023</v>
      </c>
      <c r="E76" s="102">
        <f t="shared" si="6"/>
        <v>306.40499999999997</v>
      </c>
      <c r="F76" s="100">
        <f t="shared" si="4"/>
        <v>296.60499999999996</v>
      </c>
      <c r="G76" s="101">
        <f t="shared" si="7"/>
        <v>630</v>
      </c>
      <c r="H76" s="101">
        <f t="shared" si="5"/>
        <v>42</v>
      </c>
    </row>
    <row r="77" spans="1:8" ht="21" x14ac:dyDescent="0.4">
      <c r="A77" s="103" t="s">
        <v>112</v>
      </c>
      <c r="B77" s="103">
        <v>0</v>
      </c>
      <c r="C77" s="104">
        <v>45012</v>
      </c>
      <c r="D77" s="98">
        <v>2023</v>
      </c>
      <c r="E77" s="102">
        <f t="shared" si="6"/>
        <v>311.60499999999996</v>
      </c>
      <c r="F77" s="100">
        <f t="shared" si="4"/>
        <v>311.60499999999996</v>
      </c>
      <c r="G77" s="101">
        <f t="shared" si="7"/>
        <v>645</v>
      </c>
      <c r="H77" s="101">
        <f t="shared" si="5"/>
        <v>43</v>
      </c>
    </row>
    <row r="78" spans="1:8" ht="21" x14ac:dyDescent="0.4">
      <c r="A78" s="103" t="s">
        <v>112</v>
      </c>
      <c r="B78" s="103">
        <v>0</v>
      </c>
      <c r="C78" s="104">
        <v>45013</v>
      </c>
      <c r="D78" s="98">
        <v>2023</v>
      </c>
      <c r="E78" s="102">
        <f t="shared" si="6"/>
        <v>326.60499999999996</v>
      </c>
      <c r="F78" s="100">
        <f t="shared" si="4"/>
        <v>326.60499999999996</v>
      </c>
      <c r="G78" s="101">
        <f t="shared" si="7"/>
        <v>660</v>
      </c>
      <c r="H78" s="101">
        <f t="shared" si="5"/>
        <v>44</v>
      </c>
    </row>
    <row r="79" spans="1:8" ht="21" x14ac:dyDescent="0.4">
      <c r="A79" s="103" t="s">
        <v>25</v>
      </c>
      <c r="B79" s="103">
        <v>1</v>
      </c>
      <c r="C79" s="104">
        <v>45014</v>
      </c>
      <c r="D79" s="98">
        <v>2023</v>
      </c>
      <c r="E79" s="102">
        <f t="shared" si="6"/>
        <v>341.60499999999996</v>
      </c>
      <c r="F79" s="100">
        <f t="shared" si="4"/>
        <v>340.60499999999996</v>
      </c>
      <c r="G79" s="101">
        <f t="shared" si="7"/>
        <v>675</v>
      </c>
      <c r="H79" s="101">
        <f t="shared" si="5"/>
        <v>45</v>
      </c>
    </row>
    <row r="80" spans="1:8" ht="21" x14ac:dyDescent="0.4">
      <c r="A80" s="103" t="s">
        <v>25</v>
      </c>
      <c r="B80" s="103">
        <v>6</v>
      </c>
      <c r="C80" s="104">
        <v>45015</v>
      </c>
      <c r="D80" s="98">
        <v>2023</v>
      </c>
      <c r="E80" s="102">
        <f t="shared" si="6"/>
        <v>355.60499999999996</v>
      </c>
      <c r="F80" s="100">
        <f t="shared" si="4"/>
        <v>349.60499999999996</v>
      </c>
      <c r="G80" s="101">
        <f t="shared" si="7"/>
        <v>690</v>
      </c>
      <c r="H80" s="101">
        <f t="shared" si="5"/>
        <v>46</v>
      </c>
    </row>
    <row r="81" spans="1:8" ht="21" x14ac:dyDescent="0.4">
      <c r="A81" s="103" t="s">
        <v>25</v>
      </c>
      <c r="B81" s="103">
        <v>1</v>
      </c>
      <c r="C81" s="104">
        <v>45015</v>
      </c>
      <c r="D81" s="98">
        <v>2023</v>
      </c>
      <c r="E81" s="102">
        <f t="shared" si="6"/>
        <v>349.60499999999996</v>
      </c>
      <c r="F81" s="100">
        <f t="shared" si="4"/>
        <v>348.60499999999996</v>
      </c>
      <c r="G81" s="101">
        <f t="shared" si="7"/>
        <v>690</v>
      </c>
      <c r="H81" s="101">
        <f t="shared" si="5"/>
        <v>46</v>
      </c>
    </row>
    <row r="82" spans="1:8" ht="21" x14ac:dyDescent="0.4">
      <c r="A82" s="103" t="s">
        <v>25</v>
      </c>
      <c r="B82" s="103">
        <v>1</v>
      </c>
      <c r="C82" s="104">
        <v>45016</v>
      </c>
      <c r="D82" s="98">
        <v>2023</v>
      </c>
      <c r="E82" s="102">
        <f t="shared" si="6"/>
        <v>363.60499999999996</v>
      </c>
      <c r="F82" s="100">
        <f t="shared" si="4"/>
        <v>362.60499999999996</v>
      </c>
      <c r="G82" s="101">
        <f t="shared" si="7"/>
        <v>705</v>
      </c>
      <c r="H82" s="101">
        <f t="shared" si="5"/>
        <v>47</v>
      </c>
    </row>
    <row r="83" spans="1:8" ht="21" x14ac:dyDescent="0.4">
      <c r="A83" s="105" t="s">
        <v>25</v>
      </c>
      <c r="B83" s="105">
        <v>0.8</v>
      </c>
      <c r="C83" s="106">
        <v>45017</v>
      </c>
      <c r="D83" s="98">
        <v>2023</v>
      </c>
      <c r="E83" s="102">
        <f t="shared" si="6"/>
        <v>377.60499999999996</v>
      </c>
      <c r="F83" s="100">
        <f t="shared" si="4"/>
        <v>376.80499999999995</v>
      </c>
      <c r="G83" s="101">
        <f t="shared" si="7"/>
        <v>720</v>
      </c>
      <c r="H83" s="101">
        <f t="shared" si="5"/>
        <v>48</v>
      </c>
    </row>
    <row r="84" spans="1:8" ht="21" x14ac:dyDescent="0.4">
      <c r="A84" s="105" t="s">
        <v>25</v>
      </c>
      <c r="B84" s="105">
        <v>3</v>
      </c>
      <c r="C84" s="106">
        <v>45017</v>
      </c>
      <c r="D84" s="98">
        <v>2023</v>
      </c>
      <c r="E84" s="102">
        <f t="shared" si="6"/>
        <v>376.80499999999995</v>
      </c>
      <c r="F84" s="100">
        <f t="shared" si="4"/>
        <v>373.80499999999995</v>
      </c>
      <c r="G84" s="101">
        <f t="shared" si="7"/>
        <v>720</v>
      </c>
      <c r="H84" s="101">
        <f t="shared" si="5"/>
        <v>48</v>
      </c>
    </row>
    <row r="85" spans="1:8" ht="21" x14ac:dyDescent="0.4">
      <c r="A85" s="105" t="s">
        <v>112</v>
      </c>
      <c r="B85" s="105">
        <v>0</v>
      </c>
      <c r="C85" s="106">
        <v>45018</v>
      </c>
      <c r="D85" s="98">
        <v>2023</v>
      </c>
      <c r="E85" s="102">
        <f t="shared" si="6"/>
        <v>388.80499999999995</v>
      </c>
      <c r="F85" s="100">
        <f t="shared" si="4"/>
        <v>388.80499999999995</v>
      </c>
      <c r="G85" s="101">
        <f t="shared" si="7"/>
        <v>735</v>
      </c>
      <c r="H85" s="101">
        <f t="shared" si="5"/>
        <v>49</v>
      </c>
    </row>
    <row r="86" spans="1:8" ht="21" x14ac:dyDescent="0.4">
      <c r="A86" s="105" t="s">
        <v>25</v>
      </c>
      <c r="B86" s="105">
        <v>1</v>
      </c>
      <c r="C86" s="106">
        <v>45019</v>
      </c>
      <c r="D86" s="98">
        <v>2023</v>
      </c>
      <c r="E86" s="102">
        <f t="shared" si="6"/>
        <v>403.80499999999995</v>
      </c>
      <c r="F86" s="100">
        <f t="shared" si="4"/>
        <v>402.80499999999995</v>
      </c>
      <c r="G86" s="101">
        <f t="shared" si="7"/>
        <v>750</v>
      </c>
      <c r="H86" s="101">
        <f t="shared" si="5"/>
        <v>50</v>
      </c>
    </row>
    <row r="87" spans="1:8" ht="21" x14ac:dyDescent="0.4">
      <c r="A87" s="105" t="s">
        <v>25</v>
      </c>
      <c r="B87" s="105">
        <v>3</v>
      </c>
      <c r="C87" s="106">
        <v>45020</v>
      </c>
      <c r="D87" s="98">
        <v>2023</v>
      </c>
      <c r="E87" s="102">
        <f t="shared" si="6"/>
        <v>417.80499999999995</v>
      </c>
      <c r="F87" s="100">
        <f t="shared" si="4"/>
        <v>414.80499999999995</v>
      </c>
      <c r="G87" s="101">
        <f t="shared" si="7"/>
        <v>765</v>
      </c>
      <c r="H87" s="101">
        <f t="shared" si="5"/>
        <v>51</v>
      </c>
    </row>
    <row r="88" spans="1:8" ht="21" x14ac:dyDescent="0.4">
      <c r="A88" s="105" t="s">
        <v>25</v>
      </c>
      <c r="B88" s="105">
        <v>7.5</v>
      </c>
      <c r="C88" s="106">
        <v>45021</v>
      </c>
      <c r="D88" s="98">
        <v>2023</v>
      </c>
      <c r="E88" s="102">
        <f t="shared" si="6"/>
        <v>429.80499999999995</v>
      </c>
      <c r="F88" s="100">
        <f t="shared" si="4"/>
        <v>422.30499999999995</v>
      </c>
      <c r="G88" s="101">
        <f t="shared" si="7"/>
        <v>780</v>
      </c>
      <c r="H88" s="101">
        <f t="shared" si="5"/>
        <v>52</v>
      </c>
    </row>
    <row r="89" spans="1:8" ht="21" x14ac:dyDescent="0.4">
      <c r="A89" s="105" t="s">
        <v>25</v>
      </c>
      <c r="B89" s="105">
        <v>1</v>
      </c>
      <c r="C89" s="106">
        <v>45021</v>
      </c>
      <c r="D89" s="98">
        <v>2023</v>
      </c>
      <c r="E89" s="102">
        <f t="shared" si="6"/>
        <v>422.30499999999995</v>
      </c>
      <c r="F89" s="100">
        <f t="shared" si="4"/>
        <v>421.30499999999995</v>
      </c>
      <c r="G89" s="101">
        <f t="shared" si="7"/>
        <v>780</v>
      </c>
      <c r="H89" s="101">
        <f t="shared" si="5"/>
        <v>52</v>
      </c>
    </row>
    <row r="90" spans="1:8" ht="21" x14ac:dyDescent="0.4">
      <c r="A90" s="105" t="s">
        <v>25</v>
      </c>
      <c r="B90" s="105">
        <v>3</v>
      </c>
      <c r="C90" s="106">
        <v>45022</v>
      </c>
      <c r="D90" s="98">
        <v>2023</v>
      </c>
      <c r="E90" s="102">
        <f t="shared" si="6"/>
        <v>436.30499999999995</v>
      </c>
      <c r="F90" s="100">
        <f t="shared" si="4"/>
        <v>433.30499999999995</v>
      </c>
      <c r="G90" s="101">
        <f t="shared" si="7"/>
        <v>795</v>
      </c>
      <c r="H90" s="101">
        <f t="shared" si="5"/>
        <v>53</v>
      </c>
    </row>
    <row r="91" spans="1:8" ht="21" x14ac:dyDescent="0.4">
      <c r="A91" s="105" t="s">
        <v>25</v>
      </c>
      <c r="B91" s="105">
        <v>1</v>
      </c>
      <c r="C91" s="106">
        <v>45022</v>
      </c>
      <c r="D91" s="98">
        <v>2023</v>
      </c>
      <c r="E91" s="102">
        <f t="shared" si="6"/>
        <v>433.30499999999995</v>
      </c>
      <c r="F91" s="100">
        <f t="shared" si="4"/>
        <v>432.30499999999995</v>
      </c>
      <c r="G91" s="101">
        <f t="shared" si="7"/>
        <v>795</v>
      </c>
      <c r="H91" s="101">
        <f t="shared" si="5"/>
        <v>53</v>
      </c>
    </row>
    <row r="92" spans="1:8" ht="21" x14ac:dyDescent="0.4">
      <c r="A92" s="105" t="s">
        <v>25</v>
      </c>
      <c r="B92" s="105">
        <v>2</v>
      </c>
      <c r="C92" s="106">
        <v>45023</v>
      </c>
      <c r="D92" s="98">
        <v>2023</v>
      </c>
      <c r="E92" s="102">
        <f t="shared" si="6"/>
        <v>447.30499999999995</v>
      </c>
      <c r="F92" s="100">
        <f t="shared" si="4"/>
        <v>445.30499999999995</v>
      </c>
      <c r="G92" s="101">
        <f t="shared" si="7"/>
        <v>810</v>
      </c>
      <c r="H92" s="101">
        <f t="shared" si="5"/>
        <v>54</v>
      </c>
    </row>
    <row r="93" spans="1:8" ht="21" x14ac:dyDescent="0.4">
      <c r="A93" s="105" t="s">
        <v>25</v>
      </c>
      <c r="B93" s="105">
        <v>29.03</v>
      </c>
      <c r="C93" s="106">
        <v>45023</v>
      </c>
      <c r="D93" s="98">
        <v>2023</v>
      </c>
      <c r="E93" s="102">
        <f t="shared" si="6"/>
        <v>445.30499999999995</v>
      </c>
      <c r="F93" s="100">
        <f t="shared" si="4"/>
        <v>416.27499999999998</v>
      </c>
      <c r="G93" s="101">
        <f t="shared" si="7"/>
        <v>810</v>
      </c>
      <c r="H93" s="101">
        <f t="shared" si="5"/>
        <v>54</v>
      </c>
    </row>
    <row r="94" spans="1:8" ht="21" x14ac:dyDescent="0.4">
      <c r="A94" s="105" t="s">
        <v>25</v>
      </c>
      <c r="B94" s="105">
        <v>2</v>
      </c>
      <c r="C94" s="106">
        <v>45024</v>
      </c>
      <c r="D94" s="98">
        <v>2023</v>
      </c>
      <c r="E94" s="102">
        <f t="shared" si="6"/>
        <v>431.27499999999998</v>
      </c>
      <c r="F94" s="100">
        <f t="shared" si="4"/>
        <v>429.27499999999998</v>
      </c>
      <c r="G94" s="101">
        <f t="shared" si="7"/>
        <v>825</v>
      </c>
      <c r="H94" s="101">
        <f t="shared" si="5"/>
        <v>55</v>
      </c>
    </row>
    <row r="95" spans="1:8" ht="21" x14ac:dyDescent="0.4">
      <c r="A95" s="105" t="s">
        <v>25</v>
      </c>
      <c r="B95" s="105">
        <v>4.8</v>
      </c>
      <c r="C95" s="106">
        <v>45024</v>
      </c>
      <c r="D95" s="98">
        <v>2023</v>
      </c>
      <c r="E95" s="102">
        <f t="shared" si="6"/>
        <v>429.27499999999998</v>
      </c>
      <c r="F95" s="100">
        <f t="shared" si="4"/>
        <v>424.47499999999997</v>
      </c>
      <c r="G95" s="101">
        <f t="shared" si="7"/>
        <v>825</v>
      </c>
      <c r="H95" s="101">
        <f t="shared" si="5"/>
        <v>55</v>
      </c>
    </row>
    <row r="96" spans="1:8" ht="21" x14ac:dyDescent="0.4">
      <c r="A96" s="105" t="s">
        <v>22</v>
      </c>
      <c r="B96" s="105">
        <v>12</v>
      </c>
      <c r="C96" s="106">
        <v>45025</v>
      </c>
      <c r="D96" s="98">
        <v>2023</v>
      </c>
      <c r="E96" s="102">
        <f t="shared" si="6"/>
        <v>439.47499999999997</v>
      </c>
      <c r="F96" s="100">
        <f t="shared" si="4"/>
        <v>427.47499999999997</v>
      </c>
      <c r="G96" s="101">
        <f t="shared" si="7"/>
        <v>840</v>
      </c>
      <c r="H96" s="101">
        <f t="shared" si="5"/>
        <v>56</v>
      </c>
    </row>
    <row r="97" spans="1:8" ht="21" x14ac:dyDescent="0.4">
      <c r="A97" s="105" t="s">
        <v>22</v>
      </c>
      <c r="B97" s="105">
        <v>12.35</v>
      </c>
      <c r="C97" s="106">
        <v>45025</v>
      </c>
      <c r="D97" s="98">
        <v>2023</v>
      </c>
      <c r="E97" s="102">
        <f t="shared" si="6"/>
        <v>427.47499999999997</v>
      </c>
      <c r="F97" s="100">
        <f t="shared" si="4"/>
        <v>415.12499999999994</v>
      </c>
      <c r="G97" s="101">
        <f t="shared" si="7"/>
        <v>840</v>
      </c>
      <c r="H97" s="101">
        <f t="shared" si="5"/>
        <v>56</v>
      </c>
    </row>
    <row r="98" spans="1:8" ht="21" x14ac:dyDescent="0.4">
      <c r="A98" s="105" t="s">
        <v>25</v>
      </c>
      <c r="B98" s="105">
        <v>1</v>
      </c>
      <c r="C98" s="106">
        <v>45026</v>
      </c>
      <c r="D98" s="98">
        <v>2023</v>
      </c>
      <c r="E98" s="102">
        <f t="shared" si="6"/>
        <v>430.12499999999994</v>
      </c>
      <c r="F98" s="100">
        <f t="shared" si="4"/>
        <v>429.12499999999994</v>
      </c>
      <c r="G98" s="101">
        <f t="shared" si="7"/>
        <v>855</v>
      </c>
      <c r="H98" s="101">
        <f t="shared" si="5"/>
        <v>57</v>
      </c>
    </row>
    <row r="99" spans="1:8" ht="21" x14ac:dyDescent="0.4">
      <c r="A99" s="105" t="s">
        <v>25</v>
      </c>
      <c r="B99" s="105">
        <v>1</v>
      </c>
      <c r="C99" s="106">
        <v>45027</v>
      </c>
      <c r="D99" s="98">
        <v>2023</v>
      </c>
      <c r="E99" s="102">
        <f t="shared" si="6"/>
        <v>444.12499999999994</v>
      </c>
      <c r="F99" s="100">
        <f t="shared" si="4"/>
        <v>443.12499999999994</v>
      </c>
      <c r="G99" s="101">
        <f t="shared" si="7"/>
        <v>870</v>
      </c>
      <c r="H99" s="101">
        <f t="shared" si="5"/>
        <v>58</v>
      </c>
    </row>
    <row r="100" spans="1:8" ht="21" x14ac:dyDescent="0.4">
      <c r="A100" s="105" t="s">
        <v>25</v>
      </c>
      <c r="B100" s="105">
        <v>3</v>
      </c>
      <c r="C100" s="106">
        <v>45028</v>
      </c>
      <c r="D100" s="98">
        <v>2023</v>
      </c>
      <c r="E100" s="102">
        <f t="shared" si="6"/>
        <v>458.12499999999994</v>
      </c>
      <c r="F100" s="100">
        <f t="shared" si="4"/>
        <v>455.12499999999994</v>
      </c>
      <c r="G100" s="101">
        <f t="shared" si="7"/>
        <v>885</v>
      </c>
      <c r="H100" s="101">
        <f t="shared" si="5"/>
        <v>59</v>
      </c>
    </row>
    <row r="101" spans="1:8" ht="21" x14ac:dyDescent="0.4">
      <c r="A101" s="105" t="s">
        <v>25</v>
      </c>
      <c r="B101" s="105">
        <v>7.5</v>
      </c>
      <c r="C101" s="106">
        <v>45028</v>
      </c>
      <c r="D101" s="98">
        <v>2023</v>
      </c>
      <c r="E101" s="102">
        <f t="shared" si="6"/>
        <v>455.12499999999994</v>
      </c>
      <c r="F101" s="100">
        <f t="shared" si="4"/>
        <v>447.62499999999994</v>
      </c>
      <c r="G101" s="101">
        <f t="shared" si="7"/>
        <v>885</v>
      </c>
      <c r="H101" s="101">
        <f t="shared" si="5"/>
        <v>59</v>
      </c>
    </row>
    <row r="102" spans="1:8" ht="21" x14ac:dyDescent="0.4">
      <c r="A102" s="105" t="s">
        <v>25</v>
      </c>
      <c r="B102" s="105">
        <v>1</v>
      </c>
      <c r="C102" s="106">
        <v>45028</v>
      </c>
      <c r="D102" s="98">
        <v>2023</v>
      </c>
      <c r="E102" s="102">
        <f t="shared" si="6"/>
        <v>447.62499999999994</v>
      </c>
      <c r="F102" s="100">
        <f t="shared" si="4"/>
        <v>446.62499999999994</v>
      </c>
      <c r="G102" s="101">
        <f t="shared" si="7"/>
        <v>885</v>
      </c>
      <c r="H102" s="101">
        <f t="shared" si="5"/>
        <v>59</v>
      </c>
    </row>
    <row r="103" spans="1:8" ht="21" x14ac:dyDescent="0.4">
      <c r="A103" s="105" t="s">
        <v>25</v>
      </c>
      <c r="B103" s="105">
        <v>19.989999999999998</v>
      </c>
      <c r="C103" s="106">
        <v>45029</v>
      </c>
      <c r="D103" s="98">
        <v>2023</v>
      </c>
      <c r="E103" s="102">
        <f t="shared" si="6"/>
        <v>461.62499999999994</v>
      </c>
      <c r="F103" s="100">
        <f t="shared" si="4"/>
        <v>441.63499999999993</v>
      </c>
      <c r="G103" s="101">
        <f t="shared" si="7"/>
        <v>900</v>
      </c>
      <c r="H103" s="101">
        <f t="shared" si="5"/>
        <v>60</v>
      </c>
    </row>
    <row r="104" spans="1:8" ht="21" x14ac:dyDescent="0.4">
      <c r="A104" s="105" t="s">
        <v>25</v>
      </c>
      <c r="B104" s="105">
        <v>0.4</v>
      </c>
      <c r="C104" s="106">
        <v>45030</v>
      </c>
      <c r="D104" s="98">
        <v>2023</v>
      </c>
      <c r="E104" s="102">
        <f t="shared" si="6"/>
        <v>456.63499999999993</v>
      </c>
      <c r="F104" s="100">
        <f t="shared" si="4"/>
        <v>456.23499999999996</v>
      </c>
      <c r="G104" s="101">
        <f t="shared" si="7"/>
        <v>915</v>
      </c>
      <c r="H104" s="101">
        <f t="shared" si="5"/>
        <v>61</v>
      </c>
    </row>
    <row r="105" spans="1:8" ht="21" x14ac:dyDescent="0.4">
      <c r="A105" s="105" t="s">
        <v>25</v>
      </c>
      <c r="B105" s="105">
        <v>7.5</v>
      </c>
      <c r="C105" s="106">
        <v>45031</v>
      </c>
      <c r="D105" s="98">
        <v>2023</v>
      </c>
      <c r="E105" s="102">
        <f t="shared" si="6"/>
        <v>471.23499999999996</v>
      </c>
      <c r="F105" s="100">
        <f t="shared" si="4"/>
        <v>463.73499999999996</v>
      </c>
      <c r="G105" s="101">
        <f t="shared" si="7"/>
        <v>930</v>
      </c>
      <c r="H105" s="101">
        <f t="shared" si="5"/>
        <v>62</v>
      </c>
    </row>
    <row r="106" spans="1:8" ht="21" x14ac:dyDescent="0.4">
      <c r="A106" s="105" t="s">
        <v>25</v>
      </c>
      <c r="B106" s="105">
        <v>4</v>
      </c>
      <c r="C106" s="106">
        <v>45031</v>
      </c>
      <c r="D106" s="98">
        <v>2023</v>
      </c>
      <c r="E106" s="102">
        <f t="shared" si="6"/>
        <v>463.73499999999996</v>
      </c>
      <c r="F106" s="100">
        <f t="shared" si="4"/>
        <v>459.73499999999996</v>
      </c>
      <c r="G106" s="101">
        <f t="shared" si="7"/>
        <v>930</v>
      </c>
      <c r="H106" s="101">
        <f t="shared" si="5"/>
        <v>62</v>
      </c>
    </row>
    <row r="107" spans="1:8" ht="21" x14ac:dyDescent="0.4">
      <c r="A107" s="105" t="s">
        <v>112</v>
      </c>
      <c r="B107" s="105">
        <v>0</v>
      </c>
      <c r="C107" s="106">
        <v>45032</v>
      </c>
      <c r="D107" s="98">
        <v>2023</v>
      </c>
      <c r="E107" s="102">
        <f t="shared" si="6"/>
        <v>474.73499999999996</v>
      </c>
      <c r="F107" s="100">
        <f t="shared" si="4"/>
        <v>474.73499999999996</v>
      </c>
      <c r="G107" s="101">
        <f t="shared" si="7"/>
        <v>945</v>
      </c>
      <c r="H107" s="101">
        <f t="shared" si="5"/>
        <v>63</v>
      </c>
    </row>
    <row r="108" spans="1:8" ht="21" x14ac:dyDescent="0.4">
      <c r="A108" s="106" t="s">
        <v>112</v>
      </c>
      <c r="B108" s="105">
        <v>0</v>
      </c>
      <c r="C108" s="106">
        <v>45033</v>
      </c>
      <c r="D108" s="98">
        <v>2023</v>
      </c>
      <c r="E108" s="102">
        <f t="shared" si="6"/>
        <v>489.73499999999996</v>
      </c>
      <c r="F108" s="100">
        <f t="shared" si="4"/>
        <v>489.73499999999996</v>
      </c>
      <c r="G108" s="101">
        <f t="shared" si="7"/>
        <v>960</v>
      </c>
      <c r="H108" s="101">
        <f t="shared" si="5"/>
        <v>64</v>
      </c>
    </row>
    <row r="109" spans="1:8" ht="21" x14ac:dyDescent="0.4">
      <c r="A109" s="106" t="s">
        <v>25</v>
      </c>
      <c r="B109" s="105">
        <v>9</v>
      </c>
      <c r="C109" s="106">
        <v>45034</v>
      </c>
      <c r="D109" s="98">
        <v>2023</v>
      </c>
      <c r="E109" s="102">
        <f t="shared" si="6"/>
        <v>504.73499999999996</v>
      </c>
      <c r="F109" s="100">
        <f t="shared" si="4"/>
        <v>495.73499999999996</v>
      </c>
      <c r="G109" s="101">
        <f t="shared" si="7"/>
        <v>975</v>
      </c>
      <c r="H109" s="101">
        <f t="shared" si="5"/>
        <v>65</v>
      </c>
    </row>
    <row r="110" spans="1:8" ht="21" x14ac:dyDescent="0.4">
      <c r="A110" s="106" t="s">
        <v>25</v>
      </c>
      <c r="B110" s="105">
        <v>1</v>
      </c>
      <c r="C110" s="106">
        <v>45034</v>
      </c>
      <c r="D110" s="98">
        <v>2023</v>
      </c>
      <c r="E110" s="102">
        <f t="shared" si="6"/>
        <v>495.73499999999996</v>
      </c>
      <c r="F110" s="100">
        <f t="shared" si="4"/>
        <v>494.73499999999996</v>
      </c>
      <c r="G110" s="101">
        <f t="shared" si="7"/>
        <v>975</v>
      </c>
      <c r="H110" s="101">
        <f t="shared" si="5"/>
        <v>65</v>
      </c>
    </row>
    <row r="111" spans="1:8" ht="21" x14ac:dyDescent="0.4">
      <c r="A111" s="106" t="s">
        <v>25</v>
      </c>
      <c r="B111" s="105">
        <v>1</v>
      </c>
      <c r="C111" s="106">
        <v>45035</v>
      </c>
      <c r="D111" s="98">
        <v>2023</v>
      </c>
      <c r="E111" s="102">
        <f t="shared" si="6"/>
        <v>509.73499999999996</v>
      </c>
      <c r="F111" s="100">
        <f t="shared" si="4"/>
        <v>508.73499999999996</v>
      </c>
      <c r="G111" s="101">
        <f t="shared" si="7"/>
        <v>990</v>
      </c>
      <c r="H111" s="101">
        <f t="shared" si="5"/>
        <v>66</v>
      </c>
    </row>
    <row r="112" spans="1:8" ht="21" x14ac:dyDescent="0.4">
      <c r="A112" s="106" t="s">
        <v>25</v>
      </c>
      <c r="B112" s="105">
        <v>7</v>
      </c>
      <c r="C112" s="106">
        <v>45036</v>
      </c>
      <c r="D112" s="98">
        <v>2023</v>
      </c>
      <c r="E112" s="102">
        <f t="shared" si="6"/>
        <v>523.7349999999999</v>
      </c>
      <c r="F112" s="100">
        <f t="shared" si="4"/>
        <v>516.7349999999999</v>
      </c>
      <c r="G112" s="101">
        <f t="shared" si="7"/>
        <v>1005</v>
      </c>
      <c r="H112" s="101">
        <f t="shared" si="5"/>
        <v>67</v>
      </c>
    </row>
    <row r="113" spans="1:8" ht="21" x14ac:dyDescent="0.4">
      <c r="A113" s="106" t="s">
        <v>25</v>
      </c>
      <c r="B113" s="105">
        <v>5.95</v>
      </c>
      <c r="C113" s="106">
        <v>45037</v>
      </c>
      <c r="D113" s="98">
        <v>2023</v>
      </c>
      <c r="E113" s="102">
        <f t="shared" si="6"/>
        <v>531.7349999999999</v>
      </c>
      <c r="F113" s="100">
        <f t="shared" si="4"/>
        <v>525.78499999999985</v>
      </c>
      <c r="G113" s="101">
        <f t="shared" si="7"/>
        <v>1020</v>
      </c>
      <c r="H113" s="101">
        <f t="shared" si="5"/>
        <v>68</v>
      </c>
    </row>
    <row r="114" spans="1:8" ht="21" x14ac:dyDescent="0.4">
      <c r="A114" s="106" t="s">
        <v>25</v>
      </c>
      <c r="B114" s="105">
        <v>29.15</v>
      </c>
      <c r="C114" s="106">
        <v>45038</v>
      </c>
      <c r="D114" s="98">
        <v>2023</v>
      </c>
      <c r="E114" s="102">
        <f t="shared" si="6"/>
        <v>540.78499999999985</v>
      </c>
      <c r="F114" s="100">
        <f t="shared" si="4"/>
        <v>511.63499999999988</v>
      </c>
      <c r="G114" s="101">
        <f t="shared" si="7"/>
        <v>1035</v>
      </c>
      <c r="H114" s="101">
        <f t="shared" si="5"/>
        <v>69</v>
      </c>
    </row>
    <row r="115" spans="1:8" ht="21" x14ac:dyDescent="0.4">
      <c r="A115" s="106" t="s">
        <v>25</v>
      </c>
      <c r="B115" s="105">
        <v>1</v>
      </c>
      <c r="C115" s="106">
        <v>45038</v>
      </c>
      <c r="D115" s="98">
        <v>2023</v>
      </c>
      <c r="E115" s="102">
        <f t="shared" si="6"/>
        <v>511.63499999999988</v>
      </c>
      <c r="F115" s="100">
        <f t="shared" si="4"/>
        <v>510.63499999999988</v>
      </c>
      <c r="G115" s="101">
        <f t="shared" si="7"/>
        <v>1035</v>
      </c>
      <c r="H115" s="101">
        <f t="shared" si="5"/>
        <v>69</v>
      </c>
    </row>
    <row r="116" spans="1:8" ht="21" x14ac:dyDescent="0.4">
      <c r="A116" s="106" t="s">
        <v>22</v>
      </c>
      <c r="B116" s="105">
        <v>16.16</v>
      </c>
      <c r="C116" s="106">
        <v>45039</v>
      </c>
      <c r="D116" s="98">
        <v>2023</v>
      </c>
      <c r="E116" s="102">
        <f t="shared" si="6"/>
        <v>525.63499999999988</v>
      </c>
      <c r="F116" s="100">
        <f t="shared" si="4"/>
        <v>509.47499999999985</v>
      </c>
      <c r="G116" s="101">
        <f t="shared" si="7"/>
        <v>1050</v>
      </c>
      <c r="H116" s="101">
        <f t="shared" si="5"/>
        <v>70</v>
      </c>
    </row>
    <row r="117" spans="1:8" ht="21" x14ac:dyDescent="0.4">
      <c r="A117" s="106" t="s">
        <v>22</v>
      </c>
      <c r="B117" s="105">
        <v>10.65</v>
      </c>
      <c r="C117" s="106">
        <v>45039</v>
      </c>
      <c r="D117" s="98">
        <v>2023</v>
      </c>
      <c r="E117" s="102">
        <f t="shared" si="6"/>
        <v>509.47499999999985</v>
      </c>
      <c r="F117" s="100">
        <f t="shared" si="4"/>
        <v>498.82499999999987</v>
      </c>
      <c r="G117" s="101">
        <f t="shared" si="7"/>
        <v>1050</v>
      </c>
      <c r="H117" s="101">
        <f t="shared" si="5"/>
        <v>70</v>
      </c>
    </row>
    <row r="118" spans="1:8" ht="21" x14ac:dyDescent="0.4">
      <c r="A118" s="106" t="s">
        <v>22</v>
      </c>
      <c r="B118" s="105">
        <v>8.5</v>
      </c>
      <c r="C118" s="106">
        <v>45040</v>
      </c>
      <c r="D118" s="98">
        <v>2023</v>
      </c>
      <c r="E118" s="102">
        <f t="shared" si="6"/>
        <v>513.82499999999982</v>
      </c>
      <c r="F118" s="100">
        <f t="shared" si="4"/>
        <v>505.32499999999982</v>
      </c>
      <c r="G118" s="101">
        <f t="shared" si="7"/>
        <v>1065</v>
      </c>
      <c r="H118" s="101">
        <f t="shared" si="5"/>
        <v>71</v>
      </c>
    </row>
    <row r="119" spans="1:8" ht="21" x14ac:dyDescent="0.4">
      <c r="A119" s="106" t="s">
        <v>22</v>
      </c>
      <c r="B119" s="105">
        <v>7.625</v>
      </c>
      <c r="C119" s="106">
        <v>45040</v>
      </c>
      <c r="D119" s="98">
        <v>2023</v>
      </c>
      <c r="E119" s="102">
        <f t="shared" si="6"/>
        <v>505.32499999999982</v>
      </c>
      <c r="F119" s="100">
        <f t="shared" si="4"/>
        <v>497.69999999999982</v>
      </c>
      <c r="G119" s="101">
        <f t="shared" si="7"/>
        <v>1065</v>
      </c>
      <c r="H119" s="101">
        <f t="shared" si="5"/>
        <v>71</v>
      </c>
    </row>
    <row r="120" spans="1:8" ht="21" x14ac:dyDescent="0.4">
      <c r="A120" s="106" t="s">
        <v>25</v>
      </c>
      <c r="B120" s="105">
        <v>1</v>
      </c>
      <c r="C120" s="106">
        <v>45040</v>
      </c>
      <c r="D120" s="98">
        <v>2023</v>
      </c>
      <c r="E120" s="102">
        <f t="shared" si="6"/>
        <v>497.69999999999982</v>
      </c>
      <c r="F120" s="100">
        <f t="shared" si="4"/>
        <v>496.69999999999982</v>
      </c>
      <c r="G120" s="101">
        <f t="shared" si="7"/>
        <v>1065</v>
      </c>
      <c r="H120" s="101">
        <f t="shared" si="5"/>
        <v>71</v>
      </c>
    </row>
    <row r="121" spans="1:8" ht="21" x14ac:dyDescent="0.4">
      <c r="A121" s="106" t="s">
        <v>25</v>
      </c>
      <c r="B121" s="105">
        <v>17.54</v>
      </c>
      <c r="C121" s="106">
        <v>45041</v>
      </c>
      <c r="D121" s="98">
        <v>2023</v>
      </c>
      <c r="E121" s="102">
        <f t="shared" si="6"/>
        <v>511.69999999999982</v>
      </c>
      <c r="F121" s="100">
        <f t="shared" si="4"/>
        <v>494.1599999999998</v>
      </c>
      <c r="G121" s="101">
        <f t="shared" si="7"/>
        <v>1080</v>
      </c>
      <c r="H121" s="101">
        <f t="shared" si="5"/>
        <v>72</v>
      </c>
    </row>
    <row r="122" spans="1:8" ht="21" x14ac:dyDescent="0.4">
      <c r="A122" s="106" t="s">
        <v>25</v>
      </c>
      <c r="B122" s="105">
        <v>7.5</v>
      </c>
      <c r="C122" s="106">
        <v>45042</v>
      </c>
      <c r="D122" s="98">
        <v>2023</v>
      </c>
      <c r="E122" s="102">
        <f t="shared" si="6"/>
        <v>509.1599999999998</v>
      </c>
      <c r="F122" s="100">
        <f t="shared" si="4"/>
        <v>501.6599999999998</v>
      </c>
      <c r="G122" s="101">
        <f t="shared" si="7"/>
        <v>1095</v>
      </c>
      <c r="H122" s="101">
        <f t="shared" si="5"/>
        <v>73</v>
      </c>
    </row>
    <row r="123" spans="1:8" ht="21" x14ac:dyDescent="0.4">
      <c r="A123" s="106" t="s">
        <v>25</v>
      </c>
      <c r="B123" s="105">
        <v>6.25</v>
      </c>
      <c r="C123" s="106">
        <v>45043</v>
      </c>
      <c r="D123" s="98">
        <v>2023</v>
      </c>
      <c r="E123" s="102">
        <f t="shared" si="6"/>
        <v>516.65999999999985</v>
      </c>
      <c r="F123" s="100">
        <f t="shared" si="4"/>
        <v>510.40999999999985</v>
      </c>
      <c r="G123" s="101">
        <f t="shared" si="7"/>
        <v>1110</v>
      </c>
      <c r="H123" s="101">
        <f t="shared" si="5"/>
        <v>74</v>
      </c>
    </row>
    <row r="124" spans="1:8" ht="21" x14ac:dyDescent="0.4">
      <c r="A124" s="106" t="s">
        <v>25</v>
      </c>
      <c r="B124" s="105">
        <v>1</v>
      </c>
      <c r="C124" s="106">
        <v>45043</v>
      </c>
      <c r="D124" s="98">
        <v>2023</v>
      </c>
      <c r="E124" s="102">
        <f t="shared" si="6"/>
        <v>510.40999999999985</v>
      </c>
      <c r="F124" s="100">
        <f t="shared" si="4"/>
        <v>509.40999999999985</v>
      </c>
      <c r="G124" s="101">
        <f t="shared" si="7"/>
        <v>1110</v>
      </c>
      <c r="H124" s="101">
        <f t="shared" si="5"/>
        <v>74</v>
      </c>
    </row>
    <row r="125" spans="1:8" ht="21" x14ac:dyDescent="0.4">
      <c r="A125" s="106" t="s">
        <v>25</v>
      </c>
      <c r="B125" s="105">
        <v>1</v>
      </c>
      <c r="C125" s="106">
        <v>45044</v>
      </c>
      <c r="D125" s="98">
        <v>2023</v>
      </c>
      <c r="E125" s="102">
        <f t="shared" si="6"/>
        <v>524.40999999999985</v>
      </c>
      <c r="F125" s="100">
        <f t="shared" si="4"/>
        <v>523.40999999999985</v>
      </c>
      <c r="G125" s="101">
        <f t="shared" si="7"/>
        <v>1125</v>
      </c>
      <c r="H125" s="101">
        <f t="shared" si="5"/>
        <v>75</v>
      </c>
    </row>
    <row r="126" spans="1:8" ht="21" x14ac:dyDescent="0.4">
      <c r="A126" s="106" t="s">
        <v>25</v>
      </c>
      <c r="B126" s="105">
        <v>7.5</v>
      </c>
      <c r="C126" s="106">
        <v>45044</v>
      </c>
      <c r="D126" s="98">
        <v>2023</v>
      </c>
      <c r="E126" s="102">
        <f t="shared" si="6"/>
        <v>523.40999999999985</v>
      </c>
      <c r="F126" s="100">
        <f t="shared" si="4"/>
        <v>515.90999999999985</v>
      </c>
      <c r="G126" s="101">
        <f t="shared" si="7"/>
        <v>1125</v>
      </c>
      <c r="H126" s="101">
        <f t="shared" si="5"/>
        <v>75</v>
      </c>
    </row>
    <row r="127" spans="1:8" ht="21" x14ac:dyDescent="0.4">
      <c r="A127" s="106" t="s">
        <v>25</v>
      </c>
      <c r="B127" s="105">
        <v>8</v>
      </c>
      <c r="C127" s="106">
        <v>45045</v>
      </c>
      <c r="D127" s="98">
        <v>2023</v>
      </c>
      <c r="E127" s="102">
        <f t="shared" si="6"/>
        <v>530.90999999999985</v>
      </c>
      <c r="F127" s="100">
        <f t="shared" si="4"/>
        <v>522.90999999999985</v>
      </c>
      <c r="G127" s="101">
        <f t="shared" si="7"/>
        <v>1140</v>
      </c>
      <c r="H127" s="101">
        <f t="shared" si="5"/>
        <v>76</v>
      </c>
    </row>
    <row r="128" spans="1:8" ht="21" x14ac:dyDescent="0.4">
      <c r="A128" s="106" t="s">
        <v>25</v>
      </c>
      <c r="B128" s="105">
        <v>21</v>
      </c>
      <c r="C128" s="106">
        <v>45046</v>
      </c>
      <c r="D128" s="98">
        <v>2023</v>
      </c>
      <c r="E128" s="102">
        <f t="shared" si="6"/>
        <v>537.90999999999985</v>
      </c>
      <c r="F128" s="100">
        <f t="shared" si="4"/>
        <v>516.90999999999985</v>
      </c>
      <c r="G128" s="101">
        <f t="shared" si="7"/>
        <v>1155</v>
      </c>
      <c r="H128" s="101">
        <f t="shared" si="5"/>
        <v>77</v>
      </c>
    </row>
    <row r="129" spans="1:8" ht="21" x14ac:dyDescent="0.4">
      <c r="A129" s="107" t="s">
        <v>112</v>
      </c>
      <c r="B129" s="108">
        <v>0</v>
      </c>
      <c r="C129" s="107">
        <v>45047</v>
      </c>
      <c r="D129" s="98">
        <v>2023</v>
      </c>
      <c r="E129" s="102">
        <f t="shared" si="6"/>
        <v>531.90999999999985</v>
      </c>
      <c r="F129" s="100">
        <f t="shared" si="4"/>
        <v>531.90999999999985</v>
      </c>
      <c r="G129" s="101">
        <f t="shared" si="7"/>
        <v>1170</v>
      </c>
      <c r="H129" s="101">
        <f t="shared" si="5"/>
        <v>78</v>
      </c>
    </row>
    <row r="130" spans="1:8" ht="21" x14ac:dyDescent="0.4">
      <c r="A130" s="107" t="s">
        <v>25</v>
      </c>
      <c r="B130" s="108">
        <v>10.62</v>
      </c>
      <c r="C130" s="107">
        <v>45048</v>
      </c>
      <c r="D130" s="98">
        <v>2023</v>
      </c>
      <c r="E130" s="102">
        <f t="shared" si="6"/>
        <v>546.90999999999985</v>
      </c>
      <c r="F130" s="100">
        <f t="shared" si="4"/>
        <v>536.28999999999985</v>
      </c>
      <c r="G130" s="101">
        <f t="shared" si="7"/>
        <v>1185</v>
      </c>
      <c r="H130" s="101">
        <f t="shared" si="5"/>
        <v>79</v>
      </c>
    </row>
    <row r="131" spans="1:8" ht="21" x14ac:dyDescent="0.4">
      <c r="A131" s="107" t="s">
        <v>25</v>
      </c>
      <c r="B131" s="108">
        <v>7.2</v>
      </c>
      <c r="C131" s="107">
        <v>45049</v>
      </c>
      <c r="D131" s="98">
        <v>2023</v>
      </c>
      <c r="E131" s="102">
        <f t="shared" si="6"/>
        <v>551.28999999999985</v>
      </c>
      <c r="F131" s="100">
        <f t="shared" ref="F131:F187" si="8">E131-B131</f>
        <v>544.0899999999998</v>
      </c>
      <c r="G131" s="101">
        <f t="shared" si="7"/>
        <v>1200</v>
      </c>
      <c r="H131" s="101">
        <f t="shared" ref="H131:H187" si="9">G131/15</f>
        <v>80</v>
      </c>
    </row>
    <row r="132" spans="1:8" ht="21" x14ac:dyDescent="0.4">
      <c r="A132" s="107" t="s">
        <v>25</v>
      </c>
      <c r="B132" s="108">
        <v>7.75</v>
      </c>
      <c r="C132" s="107">
        <v>45050</v>
      </c>
      <c r="D132" s="98">
        <v>2023</v>
      </c>
      <c r="E132" s="102">
        <f t="shared" ref="E132:E187" si="10">IF(C132=C131,F131,F131+15)</f>
        <v>559.0899999999998</v>
      </c>
      <c r="F132" s="100">
        <f t="shared" si="8"/>
        <v>551.3399999999998</v>
      </c>
      <c r="G132" s="101">
        <f t="shared" ref="G132:G187" si="11">IF(C132&lt;&gt;C131, 15+G131,G131)</f>
        <v>1215</v>
      </c>
      <c r="H132" s="101">
        <f t="shared" si="9"/>
        <v>81</v>
      </c>
    </row>
    <row r="133" spans="1:8" ht="21" x14ac:dyDescent="0.4">
      <c r="A133" s="107" t="s">
        <v>25</v>
      </c>
      <c r="B133" s="108">
        <v>12.3</v>
      </c>
      <c r="C133" s="107">
        <v>45051</v>
      </c>
      <c r="D133" s="98">
        <v>2023</v>
      </c>
      <c r="E133" s="102">
        <f t="shared" si="10"/>
        <v>566.3399999999998</v>
      </c>
      <c r="F133" s="100">
        <f t="shared" si="8"/>
        <v>554.03999999999985</v>
      </c>
      <c r="G133" s="101">
        <f t="shared" si="11"/>
        <v>1230</v>
      </c>
      <c r="H133" s="101">
        <f t="shared" si="9"/>
        <v>82</v>
      </c>
    </row>
    <row r="134" spans="1:8" ht="21" x14ac:dyDescent="0.4">
      <c r="A134" s="107" t="s">
        <v>22</v>
      </c>
      <c r="B134" s="108">
        <v>35.659999999999997</v>
      </c>
      <c r="C134" s="107">
        <v>45052</v>
      </c>
      <c r="D134" s="98">
        <v>2023</v>
      </c>
      <c r="E134" s="102">
        <f t="shared" si="10"/>
        <v>569.03999999999985</v>
      </c>
      <c r="F134" s="100">
        <f t="shared" si="8"/>
        <v>533.37999999999988</v>
      </c>
      <c r="G134" s="101">
        <f t="shared" si="11"/>
        <v>1245</v>
      </c>
      <c r="H134" s="101">
        <f t="shared" si="9"/>
        <v>83</v>
      </c>
    </row>
    <row r="135" spans="1:8" ht="21" x14ac:dyDescent="0.4">
      <c r="A135" s="107" t="s">
        <v>25</v>
      </c>
      <c r="B135" s="108">
        <v>1</v>
      </c>
      <c r="C135" s="107">
        <v>45053</v>
      </c>
      <c r="D135" s="98">
        <v>2023</v>
      </c>
      <c r="E135" s="102">
        <f t="shared" si="10"/>
        <v>548.37999999999988</v>
      </c>
      <c r="F135" s="100">
        <f t="shared" si="8"/>
        <v>547.37999999999988</v>
      </c>
      <c r="G135" s="101">
        <f t="shared" si="11"/>
        <v>1260</v>
      </c>
      <c r="H135" s="101">
        <f t="shared" si="9"/>
        <v>84</v>
      </c>
    </row>
    <row r="136" spans="1:8" ht="21" x14ac:dyDescent="0.4">
      <c r="A136" s="107" t="s">
        <v>112</v>
      </c>
      <c r="B136" s="108">
        <v>0</v>
      </c>
      <c r="C136" s="107">
        <v>45054</v>
      </c>
      <c r="D136" s="98">
        <v>2023</v>
      </c>
      <c r="E136" s="102">
        <f t="shared" si="10"/>
        <v>562.37999999999988</v>
      </c>
      <c r="F136" s="100">
        <f t="shared" si="8"/>
        <v>562.37999999999988</v>
      </c>
      <c r="G136" s="101">
        <f t="shared" si="11"/>
        <v>1275</v>
      </c>
      <c r="H136" s="101">
        <f t="shared" si="9"/>
        <v>85</v>
      </c>
    </row>
    <row r="137" spans="1:8" ht="21" x14ac:dyDescent="0.4">
      <c r="A137" s="107" t="s">
        <v>112</v>
      </c>
      <c r="B137" s="108">
        <v>0</v>
      </c>
      <c r="C137" s="107">
        <v>45055</v>
      </c>
      <c r="D137" s="98">
        <v>2023</v>
      </c>
      <c r="E137" s="102">
        <f t="shared" si="10"/>
        <v>577.37999999999988</v>
      </c>
      <c r="F137" s="100">
        <f t="shared" si="8"/>
        <v>577.37999999999988</v>
      </c>
      <c r="G137" s="101">
        <f t="shared" si="11"/>
        <v>1290</v>
      </c>
      <c r="H137" s="101">
        <f t="shared" si="9"/>
        <v>86</v>
      </c>
    </row>
    <row r="138" spans="1:8" ht="21" x14ac:dyDescent="0.4">
      <c r="A138" s="107" t="s">
        <v>25</v>
      </c>
      <c r="B138" s="108">
        <v>1</v>
      </c>
      <c r="C138" s="107">
        <v>45056</v>
      </c>
      <c r="D138" s="98">
        <v>2023</v>
      </c>
      <c r="E138" s="102">
        <f t="shared" si="10"/>
        <v>592.37999999999988</v>
      </c>
      <c r="F138" s="100">
        <f t="shared" si="8"/>
        <v>591.37999999999988</v>
      </c>
      <c r="G138" s="101">
        <f t="shared" si="11"/>
        <v>1305</v>
      </c>
      <c r="H138" s="101">
        <f t="shared" si="9"/>
        <v>87</v>
      </c>
    </row>
    <row r="139" spans="1:8" ht="21" x14ac:dyDescent="0.4">
      <c r="A139" s="107" t="s">
        <v>25</v>
      </c>
      <c r="B139" s="108">
        <v>7.5</v>
      </c>
      <c r="C139" s="107">
        <v>45057</v>
      </c>
      <c r="D139" s="98">
        <v>2023</v>
      </c>
      <c r="E139" s="102">
        <f t="shared" si="10"/>
        <v>606.37999999999988</v>
      </c>
      <c r="F139" s="100">
        <f t="shared" si="8"/>
        <v>598.87999999999988</v>
      </c>
      <c r="G139" s="101">
        <f t="shared" si="11"/>
        <v>1320</v>
      </c>
      <c r="H139" s="101">
        <f t="shared" si="9"/>
        <v>88</v>
      </c>
    </row>
    <row r="140" spans="1:8" ht="21" x14ac:dyDescent="0.4">
      <c r="A140" s="107" t="s">
        <v>25</v>
      </c>
      <c r="B140" s="108">
        <v>4.3499999999999996</v>
      </c>
      <c r="C140" s="107">
        <v>45058</v>
      </c>
      <c r="D140" s="98">
        <v>2023</v>
      </c>
      <c r="E140" s="102">
        <f t="shared" si="10"/>
        <v>613.87999999999988</v>
      </c>
      <c r="F140" s="100">
        <f t="shared" si="8"/>
        <v>609.52999999999986</v>
      </c>
      <c r="G140" s="101">
        <f t="shared" si="11"/>
        <v>1335</v>
      </c>
      <c r="H140" s="101">
        <f t="shared" si="9"/>
        <v>89</v>
      </c>
    </row>
    <row r="141" spans="1:8" ht="21" x14ac:dyDescent="0.4">
      <c r="A141" s="107" t="s">
        <v>112</v>
      </c>
      <c r="B141" s="108">
        <v>0</v>
      </c>
      <c r="C141" s="107">
        <v>45058</v>
      </c>
      <c r="D141" s="98">
        <v>2023</v>
      </c>
      <c r="E141" s="102">
        <f t="shared" si="10"/>
        <v>609.52999999999986</v>
      </c>
      <c r="F141" s="100">
        <f t="shared" si="8"/>
        <v>609.52999999999986</v>
      </c>
      <c r="G141" s="101">
        <f t="shared" si="11"/>
        <v>1335</v>
      </c>
      <c r="H141" s="101">
        <f t="shared" si="9"/>
        <v>89</v>
      </c>
    </row>
    <row r="142" spans="1:8" ht="21" x14ac:dyDescent="0.4">
      <c r="A142" s="107" t="s">
        <v>25</v>
      </c>
      <c r="B142" s="108">
        <v>1</v>
      </c>
      <c r="C142" s="107">
        <v>45059</v>
      </c>
      <c r="D142" s="98">
        <v>2023</v>
      </c>
      <c r="E142" s="102">
        <f>IF(C142=C141,F141,F141+15)</f>
        <v>624.52999999999986</v>
      </c>
      <c r="F142" s="100">
        <f t="shared" si="8"/>
        <v>623.52999999999986</v>
      </c>
      <c r="G142" s="101">
        <f>IF(C142&lt;&gt;C141, 15+G141,G141)</f>
        <v>1350</v>
      </c>
      <c r="H142" s="101">
        <f t="shared" si="9"/>
        <v>90</v>
      </c>
    </row>
    <row r="143" spans="1:8" ht="21" x14ac:dyDescent="0.4">
      <c r="A143" s="107" t="s">
        <v>25</v>
      </c>
      <c r="B143" s="108">
        <v>10</v>
      </c>
      <c r="C143" s="107">
        <v>45060</v>
      </c>
      <c r="D143" s="98">
        <v>2023</v>
      </c>
      <c r="E143" s="102">
        <f t="shared" si="10"/>
        <v>638.52999999999986</v>
      </c>
      <c r="F143" s="100">
        <f t="shared" si="8"/>
        <v>628.52999999999986</v>
      </c>
      <c r="G143" s="101">
        <f t="shared" si="11"/>
        <v>1365</v>
      </c>
      <c r="H143" s="101">
        <f t="shared" si="9"/>
        <v>91</v>
      </c>
    </row>
    <row r="144" spans="1:8" ht="21" x14ac:dyDescent="0.4">
      <c r="A144" s="107" t="s">
        <v>22</v>
      </c>
      <c r="B144" s="108">
        <v>12</v>
      </c>
      <c r="C144" s="107">
        <v>45060</v>
      </c>
      <c r="D144" s="98">
        <v>2023</v>
      </c>
      <c r="E144" s="102">
        <f t="shared" si="10"/>
        <v>628.52999999999986</v>
      </c>
      <c r="F144" s="100">
        <f t="shared" si="8"/>
        <v>616.52999999999986</v>
      </c>
      <c r="G144" s="101">
        <f t="shared" si="11"/>
        <v>1365</v>
      </c>
      <c r="H144" s="101">
        <f t="shared" si="9"/>
        <v>91</v>
      </c>
    </row>
    <row r="145" spans="1:8" ht="21" x14ac:dyDescent="0.4">
      <c r="A145" s="107" t="s">
        <v>25</v>
      </c>
      <c r="B145" s="108">
        <v>8.5</v>
      </c>
      <c r="C145" s="107">
        <v>45061</v>
      </c>
      <c r="D145" s="98">
        <v>2023</v>
      </c>
      <c r="E145" s="102">
        <f t="shared" si="10"/>
        <v>631.52999999999986</v>
      </c>
      <c r="F145" s="100">
        <f t="shared" si="8"/>
        <v>623.02999999999986</v>
      </c>
      <c r="G145" s="101">
        <f t="shared" si="11"/>
        <v>1380</v>
      </c>
      <c r="H145" s="101">
        <f t="shared" si="9"/>
        <v>92</v>
      </c>
    </row>
    <row r="146" spans="1:8" ht="21" x14ac:dyDescent="0.4">
      <c r="A146" s="107" t="s">
        <v>25</v>
      </c>
      <c r="B146" s="108">
        <v>1.8</v>
      </c>
      <c r="C146" s="107">
        <v>45062</v>
      </c>
      <c r="D146" s="98">
        <v>2023</v>
      </c>
      <c r="E146" s="102">
        <f t="shared" si="10"/>
        <v>638.02999999999986</v>
      </c>
      <c r="F146" s="100">
        <f t="shared" si="8"/>
        <v>636.2299999999999</v>
      </c>
      <c r="G146" s="101">
        <f t="shared" si="11"/>
        <v>1395</v>
      </c>
      <c r="H146" s="101">
        <f t="shared" si="9"/>
        <v>93</v>
      </c>
    </row>
    <row r="147" spans="1:8" ht="21" x14ac:dyDescent="0.4">
      <c r="A147" s="107" t="s">
        <v>22</v>
      </c>
      <c r="B147" s="108">
        <v>45.7</v>
      </c>
      <c r="C147" s="107">
        <v>45062</v>
      </c>
      <c r="D147" s="98">
        <v>2023</v>
      </c>
      <c r="E147" s="102">
        <f t="shared" si="10"/>
        <v>636.2299999999999</v>
      </c>
      <c r="F147" s="100">
        <f t="shared" si="8"/>
        <v>590.52999999999986</v>
      </c>
      <c r="G147" s="101">
        <f t="shared" si="11"/>
        <v>1395</v>
      </c>
      <c r="H147" s="101">
        <f t="shared" si="9"/>
        <v>93</v>
      </c>
    </row>
    <row r="148" spans="1:8" ht="21" x14ac:dyDescent="0.4">
      <c r="A148" s="107" t="s">
        <v>25</v>
      </c>
      <c r="B148" s="108">
        <v>1</v>
      </c>
      <c r="C148" s="107">
        <v>45063</v>
      </c>
      <c r="D148" s="98">
        <v>2023</v>
      </c>
      <c r="E148" s="102">
        <f t="shared" si="10"/>
        <v>605.52999999999986</v>
      </c>
      <c r="F148" s="100">
        <f t="shared" si="8"/>
        <v>604.52999999999986</v>
      </c>
      <c r="G148" s="101">
        <f t="shared" si="11"/>
        <v>1410</v>
      </c>
      <c r="H148" s="101">
        <f t="shared" si="9"/>
        <v>94</v>
      </c>
    </row>
    <row r="149" spans="1:8" ht="21" x14ac:dyDescent="0.4">
      <c r="A149" s="107" t="s">
        <v>112</v>
      </c>
      <c r="B149" s="108">
        <v>0</v>
      </c>
      <c r="C149" s="107">
        <v>45064</v>
      </c>
      <c r="D149" s="98">
        <v>2023</v>
      </c>
      <c r="E149" s="102">
        <f t="shared" si="10"/>
        <v>619.52999999999986</v>
      </c>
      <c r="F149" s="100">
        <f t="shared" si="8"/>
        <v>619.52999999999986</v>
      </c>
      <c r="G149" s="101">
        <f t="shared" si="11"/>
        <v>1425</v>
      </c>
      <c r="H149" s="101">
        <f t="shared" si="9"/>
        <v>95</v>
      </c>
    </row>
    <row r="150" spans="1:8" ht="21" x14ac:dyDescent="0.4">
      <c r="A150" s="107" t="s">
        <v>25</v>
      </c>
      <c r="B150" s="108">
        <v>2</v>
      </c>
      <c r="C150" s="107">
        <v>45065</v>
      </c>
      <c r="D150" s="98">
        <v>2023</v>
      </c>
      <c r="E150" s="102">
        <f t="shared" si="10"/>
        <v>634.52999999999986</v>
      </c>
      <c r="F150" s="100">
        <f t="shared" si="8"/>
        <v>632.52999999999986</v>
      </c>
      <c r="G150" s="101">
        <f t="shared" si="11"/>
        <v>1440</v>
      </c>
      <c r="H150" s="101">
        <f t="shared" si="9"/>
        <v>96</v>
      </c>
    </row>
    <row r="151" spans="1:8" ht="21" x14ac:dyDescent="0.4">
      <c r="A151" s="107" t="s">
        <v>112</v>
      </c>
      <c r="B151" s="108">
        <v>0</v>
      </c>
      <c r="C151" s="107">
        <v>45066</v>
      </c>
      <c r="D151" s="98">
        <v>2023</v>
      </c>
      <c r="E151" s="102">
        <f t="shared" si="10"/>
        <v>647.52999999999986</v>
      </c>
      <c r="F151" s="100">
        <f t="shared" si="8"/>
        <v>647.52999999999986</v>
      </c>
      <c r="G151" s="101">
        <f t="shared" si="11"/>
        <v>1455</v>
      </c>
      <c r="H151" s="101">
        <f t="shared" si="9"/>
        <v>97</v>
      </c>
    </row>
    <row r="152" spans="1:8" ht="21" x14ac:dyDescent="0.4">
      <c r="A152" s="107" t="s">
        <v>112</v>
      </c>
      <c r="B152" s="108">
        <v>0</v>
      </c>
      <c r="C152" s="107">
        <v>45067</v>
      </c>
      <c r="D152" s="98">
        <v>2023</v>
      </c>
      <c r="E152" s="102">
        <f t="shared" si="10"/>
        <v>662.52999999999986</v>
      </c>
      <c r="F152" s="100">
        <f t="shared" si="8"/>
        <v>662.52999999999986</v>
      </c>
      <c r="G152" s="101">
        <f t="shared" si="11"/>
        <v>1470</v>
      </c>
      <c r="H152" s="101">
        <f t="shared" si="9"/>
        <v>98</v>
      </c>
    </row>
    <row r="153" spans="1:8" ht="21" x14ac:dyDescent="0.4">
      <c r="A153" s="107" t="s">
        <v>25</v>
      </c>
      <c r="B153" s="108">
        <v>0.8</v>
      </c>
      <c r="C153" s="107">
        <v>45068</v>
      </c>
      <c r="D153" s="98">
        <v>2023</v>
      </c>
      <c r="E153" s="102">
        <f t="shared" si="10"/>
        <v>677.52999999999986</v>
      </c>
      <c r="F153" s="100">
        <f t="shared" si="8"/>
        <v>676.7299999999999</v>
      </c>
      <c r="G153" s="101">
        <f t="shared" si="11"/>
        <v>1485</v>
      </c>
      <c r="H153" s="101">
        <f t="shared" si="9"/>
        <v>99</v>
      </c>
    </row>
    <row r="154" spans="1:8" ht="21" x14ac:dyDescent="0.4">
      <c r="A154" s="107" t="s">
        <v>25</v>
      </c>
      <c r="B154" s="108">
        <v>4</v>
      </c>
      <c r="C154" s="107">
        <v>45068</v>
      </c>
      <c r="D154" s="98">
        <v>2023</v>
      </c>
      <c r="E154" s="102">
        <f t="shared" si="10"/>
        <v>676.7299999999999</v>
      </c>
      <c r="F154" s="100">
        <f t="shared" si="8"/>
        <v>672.7299999999999</v>
      </c>
      <c r="G154" s="101">
        <f t="shared" si="11"/>
        <v>1485</v>
      </c>
      <c r="H154" s="101">
        <f t="shared" si="9"/>
        <v>99</v>
      </c>
    </row>
    <row r="155" spans="1:8" ht="21" x14ac:dyDescent="0.4">
      <c r="A155" s="107" t="s">
        <v>25</v>
      </c>
      <c r="B155" s="108">
        <v>2</v>
      </c>
      <c r="C155" s="107">
        <v>45069</v>
      </c>
      <c r="D155" s="98">
        <v>2023</v>
      </c>
      <c r="E155" s="102">
        <f t="shared" ref="E155" si="12">IF(C155=C154,F154,F154+15)</f>
        <v>687.7299999999999</v>
      </c>
      <c r="F155" s="100">
        <f t="shared" ref="F155" si="13">E155-B155</f>
        <v>685.7299999999999</v>
      </c>
      <c r="G155" s="101">
        <f t="shared" ref="G155" si="14">IF(C155&lt;&gt;C154, 15+G154,G154)</f>
        <v>1500</v>
      </c>
      <c r="H155" s="101">
        <f t="shared" ref="H155" si="15">G155/15</f>
        <v>100</v>
      </c>
    </row>
    <row r="156" spans="1:8" ht="21" x14ac:dyDescent="0.4">
      <c r="A156" s="107" t="s">
        <v>22</v>
      </c>
      <c r="B156" s="108">
        <v>15</v>
      </c>
      <c r="C156" s="107">
        <v>45070</v>
      </c>
      <c r="D156" s="98">
        <v>2023</v>
      </c>
      <c r="E156" s="102">
        <f t="shared" si="10"/>
        <v>700.7299999999999</v>
      </c>
      <c r="F156" s="100">
        <f t="shared" si="8"/>
        <v>685.7299999999999</v>
      </c>
      <c r="G156" s="101">
        <f t="shared" si="11"/>
        <v>1515</v>
      </c>
      <c r="H156" s="101">
        <f t="shared" si="9"/>
        <v>101</v>
      </c>
    </row>
    <row r="157" spans="1:8" ht="21" x14ac:dyDescent="0.4">
      <c r="A157" s="107" t="s">
        <v>22</v>
      </c>
      <c r="B157" s="108">
        <v>30.25</v>
      </c>
      <c r="C157" s="107">
        <v>45070</v>
      </c>
      <c r="D157" s="98">
        <v>2023</v>
      </c>
      <c r="E157" s="102">
        <f t="shared" si="10"/>
        <v>685.7299999999999</v>
      </c>
      <c r="F157" s="100">
        <f t="shared" si="8"/>
        <v>655.4799999999999</v>
      </c>
      <c r="G157" s="101">
        <f t="shared" si="11"/>
        <v>1515</v>
      </c>
      <c r="H157" s="101">
        <f t="shared" si="9"/>
        <v>101</v>
      </c>
    </row>
    <row r="158" spans="1:8" ht="21" x14ac:dyDescent="0.4">
      <c r="A158" s="107" t="s">
        <v>25</v>
      </c>
      <c r="B158" s="108">
        <v>3.9</v>
      </c>
      <c r="C158" s="107">
        <v>45071</v>
      </c>
      <c r="D158" s="98">
        <v>2023</v>
      </c>
      <c r="E158" s="102">
        <f t="shared" si="10"/>
        <v>670.4799999999999</v>
      </c>
      <c r="F158" s="100">
        <f t="shared" si="8"/>
        <v>666.57999999999993</v>
      </c>
      <c r="G158" s="101">
        <f t="shared" si="11"/>
        <v>1530</v>
      </c>
      <c r="H158" s="101">
        <f t="shared" si="9"/>
        <v>102</v>
      </c>
    </row>
    <row r="159" spans="1:8" ht="21" x14ac:dyDescent="0.4">
      <c r="A159" s="107" t="s">
        <v>25</v>
      </c>
      <c r="B159" s="108">
        <v>1</v>
      </c>
      <c r="C159" s="107">
        <v>45072</v>
      </c>
      <c r="D159" s="98">
        <v>2023</v>
      </c>
      <c r="E159" s="102">
        <f t="shared" si="10"/>
        <v>681.57999999999993</v>
      </c>
      <c r="F159" s="100">
        <f t="shared" si="8"/>
        <v>680.57999999999993</v>
      </c>
      <c r="G159" s="101">
        <f t="shared" si="11"/>
        <v>1545</v>
      </c>
      <c r="H159" s="101">
        <f t="shared" si="9"/>
        <v>103</v>
      </c>
    </row>
    <row r="160" spans="1:8" ht="21" x14ac:dyDescent="0.4">
      <c r="A160" s="107" t="s">
        <v>112</v>
      </c>
      <c r="B160" s="108">
        <v>0</v>
      </c>
      <c r="C160" s="107">
        <v>45073</v>
      </c>
      <c r="D160" s="98">
        <v>2023</v>
      </c>
      <c r="E160" s="102">
        <f t="shared" si="10"/>
        <v>695.57999999999993</v>
      </c>
      <c r="F160" s="100">
        <f t="shared" si="8"/>
        <v>695.57999999999993</v>
      </c>
      <c r="G160" s="101">
        <f t="shared" si="11"/>
        <v>1560</v>
      </c>
      <c r="H160" s="101">
        <f t="shared" si="9"/>
        <v>104</v>
      </c>
    </row>
    <row r="161" spans="1:8" ht="21" x14ac:dyDescent="0.4">
      <c r="A161" s="107" t="s">
        <v>112</v>
      </c>
      <c r="B161" s="108">
        <v>0</v>
      </c>
      <c r="C161" s="107">
        <v>45074</v>
      </c>
      <c r="D161" s="98">
        <v>2023</v>
      </c>
      <c r="E161" s="102">
        <f t="shared" si="10"/>
        <v>710.57999999999993</v>
      </c>
      <c r="F161" s="100">
        <f t="shared" si="8"/>
        <v>710.57999999999993</v>
      </c>
      <c r="G161" s="101">
        <f t="shared" si="11"/>
        <v>1575</v>
      </c>
      <c r="H161" s="101">
        <f t="shared" si="9"/>
        <v>105</v>
      </c>
    </row>
    <row r="162" spans="1:8" ht="21" x14ac:dyDescent="0.4">
      <c r="A162" s="107" t="s">
        <v>112</v>
      </c>
      <c r="B162" s="108">
        <v>0</v>
      </c>
      <c r="C162" s="107">
        <v>45075</v>
      </c>
      <c r="D162" s="98">
        <v>2023</v>
      </c>
      <c r="E162" s="102">
        <f t="shared" si="10"/>
        <v>725.57999999999993</v>
      </c>
      <c r="F162" s="100">
        <f t="shared" si="8"/>
        <v>725.57999999999993</v>
      </c>
      <c r="G162" s="101">
        <f t="shared" si="11"/>
        <v>1590</v>
      </c>
      <c r="H162" s="101">
        <f t="shared" si="9"/>
        <v>106</v>
      </c>
    </row>
    <row r="163" spans="1:8" ht="21" x14ac:dyDescent="0.4">
      <c r="A163" s="107" t="s">
        <v>25</v>
      </c>
      <c r="B163" s="108">
        <v>7.5</v>
      </c>
      <c r="C163" s="107">
        <v>45076</v>
      </c>
      <c r="D163" s="98">
        <v>2023</v>
      </c>
      <c r="E163" s="102">
        <f t="shared" si="10"/>
        <v>740.57999999999993</v>
      </c>
      <c r="F163" s="100">
        <f t="shared" si="8"/>
        <v>733.07999999999993</v>
      </c>
      <c r="G163" s="101">
        <f t="shared" si="11"/>
        <v>1605</v>
      </c>
      <c r="H163" s="101">
        <f t="shared" si="9"/>
        <v>107</v>
      </c>
    </row>
    <row r="164" spans="1:8" ht="21" x14ac:dyDescent="0.4">
      <c r="A164" s="107" t="s">
        <v>22</v>
      </c>
      <c r="B164" s="108">
        <v>18.75</v>
      </c>
      <c r="C164" s="107">
        <v>45076</v>
      </c>
      <c r="D164" s="98">
        <v>2023</v>
      </c>
      <c r="E164" s="102">
        <f t="shared" si="10"/>
        <v>733.07999999999993</v>
      </c>
      <c r="F164" s="100">
        <f t="shared" si="8"/>
        <v>714.32999999999993</v>
      </c>
      <c r="G164" s="101">
        <f t="shared" si="11"/>
        <v>1605</v>
      </c>
      <c r="H164" s="101">
        <f t="shared" si="9"/>
        <v>107</v>
      </c>
    </row>
    <row r="165" spans="1:8" ht="21" x14ac:dyDescent="0.4">
      <c r="A165" s="107" t="s">
        <v>22</v>
      </c>
      <c r="B165" s="108">
        <v>2</v>
      </c>
      <c r="C165" s="107">
        <v>45077</v>
      </c>
      <c r="D165" s="98">
        <v>2023</v>
      </c>
      <c r="E165" s="102">
        <f t="shared" si="10"/>
        <v>729.32999999999993</v>
      </c>
      <c r="F165" s="100">
        <f t="shared" si="8"/>
        <v>727.32999999999993</v>
      </c>
      <c r="G165" s="101">
        <f t="shared" si="11"/>
        <v>1620</v>
      </c>
      <c r="H165" s="101">
        <f t="shared" si="9"/>
        <v>108</v>
      </c>
    </row>
    <row r="166" spans="1:8" ht="21" x14ac:dyDescent="0.4">
      <c r="A166" s="109" t="s">
        <v>113</v>
      </c>
      <c r="B166" s="110">
        <v>0</v>
      </c>
      <c r="C166" s="109">
        <v>45078</v>
      </c>
      <c r="D166" s="98">
        <v>2023</v>
      </c>
      <c r="E166" s="102">
        <f t="shared" si="10"/>
        <v>742.32999999999993</v>
      </c>
      <c r="F166" s="100">
        <f t="shared" si="8"/>
        <v>742.32999999999993</v>
      </c>
      <c r="G166" s="101">
        <f t="shared" si="11"/>
        <v>1635</v>
      </c>
      <c r="H166" s="101">
        <f t="shared" si="9"/>
        <v>109</v>
      </c>
    </row>
    <row r="167" spans="1:8" ht="21" x14ac:dyDescent="0.4">
      <c r="A167" s="109" t="s">
        <v>22</v>
      </c>
      <c r="B167" s="110">
        <v>6.95</v>
      </c>
      <c r="C167" s="109">
        <v>45079</v>
      </c>
      <c r="D167" s="98">
        <v>2023</v>
      </c>
      <c r="E167" s="102">
        <f t="shared" si="10"/>
        <v>757.32999999999993</v>
      </c>
      <c r="F167" s="100">
        <f t="shared" si="8"/>
        <v>750.37999999999988</v>
      </c>
      <c r="G167" s="101">
        <f t="shared" si="11"/>
        <v>1650</v>
      </c>
      <c r="H167" s="101">
        <f t="shared" si="9"/>
        <v>110</v>
      </c>
    </row>
    <row r="168" spans="1:8" ht="21" x14ac:dyDescent="0.4">
      <c r="A168" s="109" t="s">
        <v>25</v>
      </c>
      <c r="B168" s="110">
        <v>4.7</v>
      </c>
      <c r="C168" s="109">
        <v>45079</v>
      </c>
      <c r="D168" s="98">
        <v>2023</v>
      </c>
      <c r="E168" s="102">
        <f t="shared" si="10"/>
        <v>750.37999999999988</v>
      </c>
      <c r="F168" s="100">
        <f t="shared" si="8"/>
        <v>745.67999999999984</v>
      </c>
      <c r="G168" s="101">
        <f t="shared" si="11"/>
        <v>1650</v>
      </c>
      <c r="H168" s="101">
        <f t="shared" si="9"/>
        <v>110</v>
      </c>
    </row>
    <row r="169" spans="1:8" ht="21" x14ac:dyDescent="0.4">
      <c r="A169" s="109" t="s">
        <v>113</v>
      </c>
      <c r="B169" s="110">
        <v>0</v>
      </c>
      <c r="C169" s="109">
        <v>45080</v>
      </c>
      <c r="D169" s="98">
        <v>2023</v>
      </c>
      <c r="E169" s="102">
        <f t="shared" si="10"/>
        <v>760.67999999999984</v>
      </c>
      <c r="F169" s="100">
        <f t="shared" si="8"/>
        <v>760.67999999999984</v>
      </c>
      <c r="G169" s="101">
        <f t="shared" si="11"/>
        <v>1665</v>
      </c>
      <c r="H169" s="101">
        <f t="shared" si="9"/>
        <v>111</v>
      </c>
    </row>
    <row r="170" spans="1:8" ht="21" x14ac:dyDescent="0.4">
      <c r="A170" s="109" t="s">
        <v>113</v>
      </c>
      <c r="B170" s="110">
        <v>0</v>
      </c>
      <c r="C170" s="109">
        <v>45081</v>
      </c>
      <c r="D170" s="98">
        <v>2023</v>
      </c>
      <c r="E170" s="102">
        <f t="shared" si="10"/>
        <v>775.67999999999984</v>
      </c>
      <c r="F170" s="100">
        <f t="shared" si="8"/>
        <v>775.67999999999984</v>
      </c>
      <c r="G170" s="101">
        <f t="shared" si="11"/>
        <v>1680</v>
      </c>
      <c r="H170" s="101">
        <f t="shared" si="9"/>
        <v>112</v>
      </c>
    </row>
    <row r="171" spans="1:8" ht="21" x14ac:dyDescent="0.4">
      <c r="A171" s="109" t="s">
        <v>22</v>
      </c>
      <c r="B171" s="110">
        <v>26</v>
      </c>
      <c r="C171" s="109">
        <v>45082</v>
      </c>
      <c r="D171" s="98">
        <v>2023</v>
      </c>
      <c r="E171" s="102">
        <f t="shared" si="10"/>
        <v>790.67999999999984</v>
      </c>
      <c r="F171" s="100">
        <f t="shared" si="8"/>
        <v>764.67999999999984</v>
      </c>
      <c r="G171" s="101">
        <f t="shared" si="11"/>
        <v>1695</v>
      </c>
      <c r="H171" s="101">
        <f t="shared" si="9"/>
        <v>113</v>
      </c>
    </row>
    <row r="172" spans="1:8" ht="21" x14ac:dyDescent="0.4">
      <c r="A172" s="109" t="s">
        <v>113</v>
      </c>
      <c r="B172" s="110">
        <v>0</v>
      </c>
      <c r="C172" s="109">
        <v>45083</v>
      </c>
      <c r="D172" s="98">
        <v>2023</v>
      </c>
      <c r="E172" s="102">
        <f t="shared" si="10"/>
        <v>779.67999999999984</v>
      </c>
      <c r="F172" s="100">
        <f t="shared" si="8"/>
        <v>779.67999999999984</v>
      </c>
      <c r="G172" s="101">
        <f t="shared" si="11"/>
        <v>1710</v>
      </c>
      <c r="H172" s="101">
        <f t="shared" si="9"/>
        <v>114</v>
      </c>
    </row>
    <row r="173" spans="1:8" ht="21" x14ac:dyDescent="0.4">
      <c r="A173" s="109" t="s">
        <v>25</v>
      </c>
      <c r="B173" s="110">
        <v>1</v>
      </c>
      <c r="C173" s="109">
        <v>45084</v>
      </c>
      <c r="D173" s="98">
        <v>2023</v>
      </c>
      <c r="E173" s="102">
        <f t="shared" si="10"/>
        <v>794.67999999999984</v>
      </c>
      <c r="F173" s="100">
        <f t="shared" si="8"/>
        <v>793.67999999999984</v>
      </c>
      <c r="G173" s="101">
        <f t="shared" si="11"/>
        <v>1725</v>
      </c>
      <c r="H173" s="101">
        <f t="shared" si="9"/>
        <v>115</v>
      </c>
    </row>
    <row r="174" spans="1:8" ht="21" x14ac:dyDescent="0.4">
      <c r="A174" s="109" t="s">
        <v>112</v>
      </c>
      <c r="B174" s="110">
        <v>0</v>
      </c>
      <c r="C174" s="109">
        <v>45085</v>
      </c>
      <c r="D174" s="98">
        <v>2023</v>
      </c>
      <c r="E174" s="102">
        <f t="shared" si="10"/>
        <v>808.67999999999984</v>
      </c>
      <c r="F174" s="100">
        <f t="shared" si="8"/>
        <v>808.67999999999984</v>
      </c>
      <c r="G174" s="101">
        <f t="shared" si="11"/>
        <v>1740</v>
      </c>
      <c r="H174" s="101">
        <f t="shared" si="9"/>
        <v>116</v>
      </c>
    </row>
    <row r="175" spans="1:8" ht="21" x14ac:dyDescent="0.4">
      <c r="A175" s="109" t="s">
        <v>25</v>
      </c>
      <c r="B175" s="110">
        <v>1</v>
      </c>
      <c r="C175" s="109">
        <v>45086</v>
      </c>
      <c r="D175" s="98">
        <v>2023</v>
      </c>
      <c r="E175" s="102">
        <f t="shared" si="10"/>
        <v>823.67999999999984</v>
      </c>
      <c r="F175" s="100">
        <f t="shared" si="8"/>
        <v>822.67999999999984</v>
      </c>
      <c r="G175" s="101">
        <f t="shared" si="11"/>
        <v>1755</v>
      </c>
      <c r="H175" s="101">
        <f t="shared" si="9"/>
        <v>117</v>
      </c>
    </row>
    <row r="176" spans="1:8" ht="21" x14ac:dyDescent="0.4">
      <c r="A176" s="109" t="s">
        <v>22</v>
      </c>
      <c r="B176" s="110">
        <v>13.9</v>
      </c>
      <c r="C176" s="109">
        <v>45087</v>
      </c>
      <c r="D176" s="98">
        <v>2023</v>
      </c>
      <c r="E176" s="102">
        <f t="shared" si="10"/>
        <v>837.67999999999984</v>
      </c>
      <c r="F176" s="100">
        <f t="shared" si="8"/>
        <v>823.77999999999986</v>
      </c>
      <c r="G176" s="101">
        <f t="shared" si="11"/>
        <v>1770</v>
      </c>
      <c r="H176" s="101">
        <f t="shared" si="9"/>
        <v>118</v>
      </c>
    </row>
    <row r="177" spans="1:8" ht="21" x14ac:dyDescent="0.4">
      <c r="A177" s="109" t="s">
        <v>25</v>
      </c>
      <c r="B177" s="110">
        <v>1</v>
      </c>
      <c r="C177" s="109">
        <v>45088</v>
      </c>
      <c r="D177" s="98">
        <v>2023</v>
      </c>
      <c r="E177" s="102">
        <f t="shared" si="10"/>
        <v>838.77999999999986</v>
      </c>
      <c r="F177" s="100">
        <f t="shared" si="8"/>
        <v>837.77999999999986</v>
      </c>
      <c r="G177" s="101">
        <f t="shared" si="11"/>
        <v>1785</v>
      </c>
      <c r="H177" s="101">
        <f t="shared" si="9"/>
        <v>119</v>
      </c>
    </row>
    <row r="178" spans="1:8" ht="21" x14ac:dyDescent="0.4">
      <c r="A178" s="109" t="s">
        <v>112</v>
      </c>
      <c r="B178" s="110">
        <v>0</v>
      </c>
      <c r="C178" s="109">
        <v>45089</v>
      </c>
      <c r="D178" s="98">
        <v>2023</v>
      </c>
      <c r="E178" s="102">
        <f t="shared" si="10"/>
        <v>852.77999999999986</v>
      </c>
      <c r="F178" s="100">
        <f t="shared" si="8"/>
        <v>852.77999999999986</v>
      </c>
      <c r="G178" s="101">
        <f t="shared" si="11"/>
        <v>1800</v>
      </c>
      <c r="H178" s="101">
        <f t="shared" si="9"/>
        <v>120</v>
      </c>
    </row>
    <row r="179" spans="1:8" ht="21" x14ac:dyDescent="0.4">
      <c r="A179" s="109" t="s">
        <v>25</v>
      </c>
      <c r="B179" s="110">
        <v>2</v>
      </c>
      <c r="C179" s="109">
        <v>45090</v>
      </c>
      <c r="D179" s="98">
        <v>2023</v>
      </c>
      <c r="E179" s="102">
        <f t="shared" si="10"/>
        <v>867.77999999999986</v>
      </c>
      <c r="F179" s="100">
        <f t="shared" si="8"/>
        <v>865.77999999999986</v>
      </c>
      <c r="G179" s="101">
        <f t="shared" si="11"/>
        <v>1815</v>
      </c>
      <c r="H179" s="101">
        <f t="shared" si="9"/>
        <v>121</v>
      </c>
    </row>
    <row r="180" spans="1:8" ht="21" x14ac:dyDescent="0.4">
      <c r="A180" s="109" t="s">
        <v>112</v>
      </c>
      <c r="B180" s="110">
        <v>0</v>
      </c>
      <c r="C180" s="109">
        <v>45091</v>
      </c>
      <c r="D180" s="98">
        <v>2023</v>
      </c>
      <c r="E180" s="102">
        <f t="shared" si="10"/>
        <v>880.77999999999986</v>
      </c>
      <c r="F180" s="100">
        <f t="shared" si="8"/>
        <v>880.77999999999986</v>
      </c>
      <c r="G180" s="101">
        <f t="shared" si="11"/>
        <v>1830</v>
      </c>
      <c r="H180" s="101">
        <f t="shared" si="9"/>
        <v>122</v>
      </c>
    </row>
    <row r="181" spans="1:8" ht="21" x14ac:dyDescent="0.4">
      <c r="A181" s="109" t="s">
        <v>22</v>
      </c>
      <c r="B181" s="110">
        <v>53.5</v>
      </c>
      <c r="C181" s="109">
        <v>45092</v>
      </c>
      <c r="D181" s="98">
        <v>2023</v>
      </c>
      <c r="E181" s="102">
        <f t="shared" si="10"/>
        <v>895.77999999999986</v>
      </c>
      <c r="F181" s="100">
        <f t="shared" si="8"/>
        <v>842.27999999999986</v>
      </c>
      <c r="G181" s="101">
        <f t="shared" si="11"/>
        <v>1845</v>
      </c>
      <c r="H181" s="101">
        <f t="shared" si="9"/>
        <v>123</v>
      </c>
    </row>
    <row r="182" spans="1:8" ht="21" x14ac:dyDescent="0.4">
      <c r="A182" s="109" t="s">
        <v>25</v>
      </c>
      <c r="B182" s="110">
        <v>7.5</v>
      </c>
      <c r="C182" s="109">
        <v>45093</v>
      </c>
      <c r="D182" s="98">
        <v>2023</v>
      </c>
      <c r="E182" s="102">
        <f t="shared" si="10"/>
        <v>857.27999999999986</v>
      </c>
      <c r="F182" s="100">
        <f t="shared" si="8"/>
        <v>849.77999999999986</v>
      </c>
      <c r="G182" s="101">
        <f t="shared" si="11"/>
        <v>1860</v>
      </c>
      <c r="H182" s="101">
        <f t="shared" si="9"/>
        <v>124</v>
      </c>
    </row>
    <row r="183" spans="1:8" ht="21" x14ac:dyDescent="0.4">
      <c r="A183" s="109" t="s">
        <v>25</v>
      </c>
      <c r="B183" s="110">
        <v>1</v>
      </c>
      <c r="C183" s="109">
        <v>45094</v>
      </c>
      <c r="D183" s="98">
        <v>2023</v>
      </c>
      <c r="E183" s="102">
        <f t="shared" si="10"/>
        <v>864.77999999999986</v>
      </c>
      <c r="F183" s="100">
        <f t="shared" si="8"/>
        <v>863.77999999999986</v>
      </c>
      <c r="G183" s="101">
        <f t="shared" si="11"/>
        <v>1875</v>
      </c>
      <c r="H183" s="101">
        <f t="shared" si="9"/>
        <v>125</v>
      </c>
    </row>
    <row r="184" spans="1:8" ht="21" x14ac:dyDescent="0.4">
      <c r="A184" s="109" t="s">
        <v>112</v>
      </c>
      <c r="B184" s="110">
        <v>0</v>
      </c>
      <c r="C184" s="109">
        <v>45095</v>
      </c>
      <c r="D184" s="98">
        <v>2023</v>
      </c>
      <c r="E184" s="102">
        <f t="shared" si="10"/>
        <v>878.77999999999986</v>
      </c>
      <c r="F184" s="100">
        <f t="shared" si="8"/>
        <v>878.77999999999986</v>
      </c>
      <c r="G184" s="101">
        <f t="shared" si="11"/>
        <v>1890</v>
      </c>
      <c r="H184" s="101">
        <f t="shared" si="9"/>
        <v>126</v>
      </c>
    </row>
    <row r="185" spans="1:8" ht="21" x14ac:dyDescent="0.4">
      <c r="A185" s="109" t="s">
        <v>112</v>
      </c>
      <c r="B185" s="110">
        <v>0</v>
      </c>
      <c r="C185" s="109">
        <v>45096</v>
      </c>
      <c r="D185" s="98">
        <v>2023</v>
      </c>
      <c r="E185" s="102">
        <f t="shared" si="10"/>
        <v>893.77999999999986</v>
      </c>
      <c r="F185" s="100">
        <f t="shared" si="8"/>
        <v>893.77999999999986</v>
      </c>
      <c r="G185" s="101">
        <f t="shared" si="11"/>
        <v>1905</v>
      </c>
      <c r="H185" s="101">
        <f t="shared" si="9"/>
        <v>127</v>
      </c>
    </row>
    <row r="186" spans="1:8" ht="21" x14ac:dyDescent="0.4">
      <c r="A186" s="109" t="s">
        <v>25</v>
      </c>
      <c r="B186" s="110">
        <v>1</v>
      </c>
      <c r="C186" s="109">
        <v>45097</v>
      </c>
      <c r="D186" s="98">
        <v>2023</v>
      </c>
      <c r="E186" s="102">
        <f t="shared" si="10"/>
        <v>908.77999999999986</v>
      </c>
      <c r="F186" s="100">
        <f t="shared" si="8"/>
        <v>907.77999999999986</v>
      </c>
      <c r="G186" s="101">
        <f t="shared" si="11"/>
        <v>1920</v>
      </c>
      <c r="H186" s="101">
        <f t="shared" si="9"/>
        <v>128</v>
      </c>
    </row>
    <row r="187" spans="1:8" ht="21" x14ac:dyDescent="0.4">
      <c r="A187" s="109" t="s">
        <v>25</v>
      </c>
      <c r="B187" s="110">
        <v>12</v>
      </c>
      <c r="C187" s="109">
        <v>45098</v>
      </c>
      <c r="D187" s="98">
        <v>2023</v>
      </c>
      <c r="E187" s="102">
        <f t="shared" si="10"/>
        <v>922.77999999999986</v>
      </c>
      <c r="F187" s="100">
        <f t="shared" si="8"/>
        <v>910.77999999999986</v>
      </c>
      <c r="G187" s="101">
        <f t="shared" si="11"/>
        <v>1935</v>
      </c>
      <c r="H187" s="101">
        <f t="shared" si="9"/>
        <v>129</v>
      </c>
    </row>
    <row r="188" spans="1:8" ht="21" x14ac:dyDescent="0.4">
      <c r="A188" s="109" t="s">
        <v>22</v>
      </c>
      <c r="B188" s="110">
        <v>53.5</v>
      </c>
      <c r="C188" s="109">
        <v>45100</v>
      </c>
      <c r="D188" s="98">
        <v>2023</v>
      </c>
      <c r="E188" s="102">
        <f t="shared" ref="E188:E190" si="16">IF(C188=C187,F187,F187+15)</f>
        <v>925.77999999999986</v>
      </c>
      <c r="F188" s="100">
        <f t="shared" ref="F188:F190" si="17">E188-B188</f>
        <v>872.27999999999986</v>
      </c>
      <c r="G188" s="101">
        <f t="shared" ref="G188:G190" si="18">IF(C188&lt;&gt;C187, 15+G187,G187)</f>
        <v>1950</v>
      </c>
      <c r="H188" s="101">
        <f t="shared" ref="H188:H190" si="19">G188/15</f>
        <v>130</v>
      </c>
    </row>
    <row r="189" spans="1:8" ht="21" x14ac:dyDescent="0.4">
      <c r="A189" s="109" t="s">
        <v>112</v>
      </c>
      <c r="B189" s="110">
        <v>0</v>
      </c>
      <c r="C189" s="109">
        <v>45102</v>
      </c>
      <c r="D189" s="98">
        <v>2023</v>
      </c>
      <c r="E189" s="102">
        <f t="shared" si="16"/>
        <v>887.27999999999986</v>
      </c>
      <c r="F189" s="100">
        <f t="shared" si="17"/>
        <v>887.27999999999986</v>
      </c>
      <c r="G189" s="101">
        <f t="shared" si="18"/>
        <v>1965</v>
      </c>
      <c r="H189" s="101">
        <f t="shared" si="19"/>
        <v>131</v>
      </c>
    </row>
    <row r="190" spans="1:8" ht="21" x14ac:dyDescent="0.4">
      <c r="A190" s="109" t="s">
        <v>25</v>
      </c>
      <c r="B190" s="110">
        <v>1</v>
      </c>
      <c r="C190" s="109">
        <v>45103</v>
      </c>
      <c r="D190" s="98">
        <v>2023</v>
      </c>
      <c r="E190" s="102">
        <f t="shared" si="16"/>
        <v>902.27999999999986</v>
      </c>
      <c r="F190" s="100">
        <f t="shared" si="17"/>
        <v>901.27999999999986</v>
      </c>
      <c r="G190" s="101">
        <f t="shared" si="18"/>
        <v>1980</v>
      </c>
      <c r="H190" s="101">
        <f t="shared" si="19"/>
        <v>132</v>
      </c>
    </row>
    <row r="191" spans="1:8" ht="21" x14ac:dyDescent="0.4">
      <c r="A191" s="109" t="s">
        <v>22</v>
      </c>
      <c r="B191" s="110">
        <v>4.2</v>
      </c>
      <c r="C191" s="109">
        <v>45104</v>
      </c>
      <c r="D191" s="98">
        <v>2023</v>
      </c>
      <c r="E191" s="102">
        <f t="shared" ref="E191:E254" si="20">IF(C191=C190,F190,F190+15)</f>
        <v>916.27999999999986</v>
      </c>
      <c r="F191" s="100">
        <f t="shared" ref="F191:F254" si="21">E191-B191</f>
        <v>912.07999999999981</v>
      </c>
      <c r="G191" s="101">
        <f t="shared" ref="G191:G254" si="22">IF(C191&lt;&gt;C190, 15+G190,G190)</f>
        <v>1995</v>
      </c>
      <c r="H191" s="101">
        <f t="shared" ref="H191:H254" si="23">G191/15</f>
        <v>133</v>
      </c>
    </row>
    <row r="192" spans="1:8" ht="21" x14ac:dyDescent="0.4">
      <c r="A192" s="109" t="s">
        <v>25</v>
      </c>
      <c r="B192" s="110">
        <v>29.9</v>
      </c>
      <c r="C192" s="109">
        <v>45104</v>
      </c>
      <c r="D192" s="98">
        <v>2023</v>
      </c>
      <c r="E192" s="102">
        <f t="shared" si="20"/>
        <v>912.07999999999981</v>
      </c>
      <c r="F192" s="100">
        <f t="shared" si="21"/>
        <v>882.17999999999984</v>
      </c>
      <c r="G192" s="101">
        <f t="shared" si="22"/>
        <v>1995</v>
      </c>
      <c r="H192" s="101">
        <f t="shared" si="23"/>
        <v>133</v>
      </c>
    </row>
    <row r="193" spans="1:8" ht="21" x14ac:dyDescent="0.4">
      <c r="A193" s="109" t="s">
        <v>112</v>
      </c>
      <c r="B193" s="110">
        <v>0</v>
      </c>
      <c r="C193" s="109">
        <v>45105</v>
      </c>
      <c r="D193" s="98">
        <v>2023</v>
      </c>
      <c r="E193" s="102">
        <f t="shared" si="20"/>
        <v>897.17999999999984</v>
      </c>
      <c r="F193" s="100">
        <f t="shared" si="21"/>
        <v>897.17999999999984</v>
      </c>
      <c r="G193" s="101">
        <f t="shared" si="22"/>
        <v>2010</v>
      </c>
      <c r="H193" s="101">
        <f t="shared" si="23"/>
        <v>134</v>
      </c>
    </row>
    <row r="194" spans="1:8" ht="21" x14ac:dyDescent="0.4">
      <c r="A194" s="109" t="s">
        <v>112</v>
      </c>
      <c r="B194" s="110">
        <v>0</v>
      </c>
      <c r="C194" s="109">
        <v>45106</v>
      </c>
      <c r="D194" s="98">
        <v>2023</v>
      </c>
      <c r="E194" s="102">
        <f t="shared" si="20"/>
        <v>912.17999999999984</v>
      </c>
      <c r="F194" s="100">
        <f t="shared" si="21"/>
        <v>912.17999999999984</v>
      </c>
      <c r="G194" s="101">
        <f t="shared" si="22"/>
        <v>2025</v>
      </c>
      <c r="H194" s="101">
        <f t="shared" si="23"/>
        <v>135</v>
      </c>
    </row>
    <row r="195" spans="1:8" ht="21" x14ac:dyDescent="0.4">
      <c r="A195" s="109" t="s">
        <v>112</v>
      </c>
      <c r="B195" s="110">
        <v>0</v>
      </c>
      <c r="C195" s="109">
        <v>45107</v>
      </c>
      <c r="D195" s="98">
        <v>2023</v>
      </c>
      <c r="E195" s="102">
        <f t="shared" si="20"/>
        <v>927.17999999999984</v>
      </c>
      <c r="F195" s="100">
        <f t="shared" si="21"/>
        <v>927.17999999999984</v>
      </c>
      <c r="G195" s="101">
        <f t="shared" si="22"/>
        <v>2040</v>
      </c>
      <c r="H195" s="101">
        <f t="shared" si="23"/>
        <v>136</v>
      </c>
    </row>
    <row r="196" spans="1:8" ht="21" x14ac:dyDescent="0.4">
      <c r="A196" s="109" t="s">
        <v>22</v>
      </c>
      <c r="B196" s="110">
        <v>22.78</v>
      </c>
      <c r="C196" s="109">
        <v>45108</v>
      </c>
      <c r="D196" s="98">
        <v>2023</v>
      </c>
      <c r="E196" s="102">
        <f t="shared" si="20"/>
        <v>942.17999999999984</v>
      </c>
      <c r="F196" s="100">
        <f t="shared" si="21"/>
        <v>919.39999999999986</v>
      </c>
      <c r="G196" s="101">
        <f t="shared" si="22"/>
        <v>2055</v>
      </c>
      <c r="H196" s="101">
        <f t="shared" si="23"/>
        <v>137</v>
      </c>
    </row>
    <row r="197" spans="1:8" ht="21" x14ac:dyDescent="0.4">
      <c r="A197" s="109" t="s">
        <v>22</v>
      </c>
      <c r="B197" s="110">
        <v>22.9</v>
      </c>
      <c r="C197" s="109">
        <v>45108</v>
      </c>
      <c r="D197" s="98">
        <v>2023</v>
      </c>
      <c r="E197" s="102">
        <f t="shared" si="20"/>
        <v>919.39999999999986</v>
      </c>
      <c r="F197" s="100">
        <f t="shared" si="21"/>
        <v>896.49999999999989</v>
      </c>
      <c r="G197" s="101">
        <f t="shared" si="22"/>
        <v>2055</v>
      </c>
      <c r="H197" s="101">
        <f t="shared" si="23"/>
        <v>137</v>
      </c>
    </row>
    <row r="198" spans="1:8" ht="21" x14ac:dyDescent="0.4">
      <c r="A198" s="109" t="s">
        <v>22</v>
      </c>
      <c r="B198" s="110">
        <v>15.05</v>
      </c>
      <c r="C198" s="109">
        <v>45109</v>
      </c>
      <c r="D198" s="98">
        <v>2023</v>
      </c>
      <c r="E198" s="102">
        <f t="shared" si="20"/>
        <v>911.49999999999989</v>
      </c>
      <c r="F198" s="100">
        <f t="shared" si="21"/>
        <v>896.44999999999993</v>
      </c>
      <c r="G198" s="101">
        <f t="shared" si="22"/>
        <v>2070</v>
      </c>
      <c r="H198" s="101">
        <f t="shared" si="23"/>
        <v>138</v>
      </c>
    </row>
    <row r="199" spans="1:8" ht="21" x14ac:dyDescent="0.4">
      <c r="A199" s="109" t="s">
        <v>112</v>
      </c>
      <c r="B199" s="110">
        <v>0</v>
      </c>
      <c r="C199" s="109">
        <v>45110</v>
      </c>
      <c r="D199" s="98">
        <v>2023</v>
      </c>
      <c r="E199" s="102">
        <f t="shared" si="20"/>
        <v>911.44999999999993</v>
      </c>
      <c r="F199" s="100">
        <f t="shared" si="21"/>
        <v>911.44999999999993</v>
      </c>
      <c r="G199" s="101">
        <f t="shared" si="22"/>
        <v>2085</v>
      </c>
      <c r="H199" s="101">
        <f t="shared" si="23"/>
        <v>139</v>
      </c>
    </row>
    <row r="200" spans="1:8" ht="21" x14ac:dyDescent="0.4">
      <c r="A200" s="109" t="s">
        <v>25</v>
      </c>
      <c r="B200" s="110">
        <v>13.95</v>
      </c>
      <c r="C200" s="109">
        <v>45111</v>
      </c>
      <c r="D200" s="98">
        <v>2023</v>
      </c>
      <c r="E200" s="102">
        <f t="shared" si="20"/>
        <v>926.44999999999993</v>
      </c>
      <c r="F200" s="100">
        <f t="shared" si="21"/>
        <v>912.49999999999989</v>
      </c>
      <c r="G200" s="101">
        <f t="shared" si="22"/>
        <v>2100</v>
      </c>
      <c r="H200" s="101">
        <f t="shared" si="23"/>
        <v>140</v>
      </c>
    </row>
    <row r="201" spans="1:8" ht="21" x14ac:dyDescent="0.4">
      <c r="A201" s="109" t="s">
        <v>112</v>
      </c>
      <c r="B201" s="110">
        <v>0</v>
      </c>
      <c r="C201" s="109">
        <v>45112</v>
      </c>
      <c r="D201" s="98">
        <v>2023</v>
      </c>
      <c r="E201" s="102">
        <f t="shared" si="20"/>
        <v>927.49999999999989</v>
      </c>
      <c r="F201" s="100">
        <f t="shared" si="21"/>
        <v>927.49999999999989</v>
      </c>
      <c r="G201" s="101">
        <f t="shared" si="22"/>
        <v>2115</v>
      </c>
      <c r="H201" s="101">
        <f t="shared" si="23"/>
        <v>141</v>
      </c>
    </row>
    <row r="202" spans="1:8" ht="21" x14ac:dyDescent="0.4">
      <c r="A202" s="109" t="s">
        <v>112</v>
      </c>
      <c r="B202" s="110">
        <v>0</v>
      </c>
      <c r="C202" s="109">
        <v>45113</v>
      </c>
      <c r="D202" s="98">
        <v>2023</v>
      </c>
      <c r="E202" s="102">
        <f t="shared" si="20"/>
        <v>942.49999999999989</v>
      </c>
      <c r="F202" s="100">
        <f t="shared" si="21"/>
        <v>942.49999999999989</v>
      </c>
      <c r="G202" s="101">
        <f t="shared" si="22"/>
        <v>2130</v>
      </c>
      <c r="H202" s="101">
        <f t="shared" si="23"/>
        <v>142</v>
      </c>
    </row>
    <row r="203" spans="1:8" ht="21" x14ac:dyDescent="0.4">
      <c r="A203" s="109" t="s">
        <v>112</v>
      </c>
      <c r="B203" s="110">
        <v>0</v>
      </c>
      <c r="C203" s="109">
        <v>45114</v>
      </c>
      <c r="D203" s="98">
        <v>2023</v>
      </c>
      <c r="E203" s="102">
        <f t="shared" si="20"/>
        <v>957.49999999999989</v>
      </c>
      <c r="F203" s="100">
        <f t="shared" si="21"/>
        <v>957.49999999999989</v>
      </c>
      <c r="G203" s="101">
        <f t="shared" si="22"/>
        <v>2145</v>
      </c>
      <c r="H203" s="101">
        <f t="shared" si="23"/>
        <v>143</v>
      </c>
    </row>
    <row r="204" spans="1:8" ht="21" x14ac:dyDescent="0.4">
      <c r="A204" s="109" t="s">
        <v>25</v>
      </c>
      <c r="B204" s="110">
        <v>2</v>
      </c>
      <c r="C204" s="109">
        <v>45115</v>
      </c>
      <c r="D204" s="98">
        <v>2023</v>
      </c>
      <c r="E204" s="102">
        <f t="shared" si="20"/>
        <v>972.49999999999989</v>
      </c>
      <c r="F204" s="100">
        <f t="shared" si="21"/>
        <v>970.49999999999989</v>
      </c>
      <c r="G204" s="101">
        <f t="shared" si="22"/>
        <v>2160</v>
      </c>
      <c r="H204" s="101">
        <f t="shared" si="23"/>
        <v>144</v>
      </c>
    </row>
    <row r="205" spans="1:8" ht="21" x14ac:dyDescent="0.4">
      <c r="A205" s="109" t="s">
        <v>25</v>
      </c>
      <c r="B205" s="110">
        <v>1</v>
      </c>
      <c r="C205" s="109">
        <v>45116</v>
      </c>
      <c r="D205" s="98">
        <v>2023</v>
      </c>
      <c r="E205" s="102">
        <f t="shared" si="20"/>
        <v>985.49999999999989</v>
      </c>
      <c r="F205" s="100">
        <f t="shared" si="21"/>
        <v>984.49999999999989</v>
      </c>
      <c r="G205" s="101">
        <f t="shared" si="22"/>
        <v>2175</v>
      </c>
      <c r="H205" s="101">
        <f t="shared" si="23"/>
        <v>145</v>
      </c>
    </row>
    <row r="206" spans="1:8" ht="21" x14ac:dyDescent="0.4">
      <c r="A206" s="109" t="s">
        <v>22</v>
      </c>
      <c r="B206" s="110">
        <v>12</v>
      </c>
      <c r="C206" s="109">
        <v>45116</v>
      </c>
      <c r="D206" s="98">
        <v>2023</v>
      </c>
      <c r="E206" s="102">
        <f t="shared" si="20"/>
        <v>984.49999999999989</v>
      </c>
      <c r="F206" s="100">
        <f t="shared" si="21"/>
        <v>972.49999999999989</v>
      </c>
      <c r="G206" s="101">
        <f t="shared" si="22"/>
        <v>2175</v>
      </c>
      <c r="H206" s="101">
        <f t="shared" si="23"/>
        <v>145</v>
      </c>
    </row>
    <row r="207" spans="1:8" ht="21" x14ac:dyDescent="0.4">
      <c r="A207" s="109" t="s">
        <v>22</v>
      </c>
      <c r="B207" s="110">
        <v>10</v>
      </c>
      <c r="C207" s="109">
        <v>45116</v>
      </c>
      <c r="D207" s="98">
        <v>2023</v>
      </c>
      <c r="E207" s="102">
        <f t="shared" si="20"/>
        <v>972.49999999999989</v>
      </c>
      <c r="F207" s="100">
        <f t="shared" si="21"/>
        <v>962.49999999999989</v>
      </c>
      <c r="G207" s="101">
        <f t="shared" si="22"/>
        <v>2175</v>
      </c>
      <c r="H207" s="101">
        <f t="shared" si="23"/>
        <v>145</v>
      </c>
    </row>
    <row r="208" spans="1:8" ht="21" x14ac:dyDescent="0.4">
      <c r="A208" s="109" t="s">
        <v>22</v>
      </c>
      <c r="B208" s="110">
        <v>12</v>
      </c>
      <c r="C208" s="109">
        <v>45117</v>
      </c>
      <c r="D208" s="98">
        <v>2023</v>
      </c>
      <c r="E208" s="102">
        <f t="shared" si="20"/>
        <v>977.49999999999989</v>
      </c>
      <c r="F208" s="100">
        <f t="shared" si="21"/>
        <v>965.49999999999989</v>
      </c>
      <c r="G208" s="101">
        <f t="shared" si="22"/>
        <v>2190</v>
      </c>
      <c r="H208" s="101">
        <f t="shared" si="23"/>
        <v>146</v>
      </c>
    </row>
    <row r="209" spans="1:8" ht="21" x14ac:dyDescent="0.4">
      <c r="A209" s="109" t="s">
        <v>25</v>
      </c>
      <c r="B209" s="110">
        <v>1.8</v>
      </c>
      <c r="C209" s="109">
        <v>45118</v>
      </c>
      <c r="D209" s="98">
        <v>2023</v>
      </c>
      <c r="E209" s="102">
        <f t="shared" si="20"/>
        <v>980.49999999999989</v>
      </c>
      <c r="F209" s="100">
        <f t="shared" si="21"/>
        <v>978.69999999999993</v>
      </c>
      <c r="G209" s="101">
        <f t="shared" si="22"/>
        <v>2205</v>
      </c>
      <c r="H209" s="101">
        <f t="shared" si="23"/>
        <v>147</v>
      </c>
    </row>
    <row r="210" spans="1:8" ht="21" x14ac:dyDescent="0.4">
      <c r="A210" s="109" t="s">
        <v>112</v>
      </c>
      <c r="B210" s="110">
        <v>0</v>
      </c>
      <c r="C210" s="109">
        <v>45119</v>
      </c>
      <c r="D210" s="98">
        <v>2023</v>
      </c>
      <c r="E210" s="102">
        <f t="shared" si="20"/>
        <v>993.69999999999993</v>
      </c>
      <c r="F210" s="100">
        <f t="shared" si="21"/>
        <v>993.69999999999993</v>
      </c>
      <c r="G210" s="101">
        <f t="shared" si="22"/>
        <v>2220</v>
      </c>
      <c r="H210" s="101">
        <f t="shared" si="23"/>
        <v>148</v>
      </c>
    </row>
    <row r="211" spans="1:8" ht="21" x14ac:dyDescent="0.4">
      <c r="A211" s="109" t="s">
        <v>112</v>
      </c>
      <c r="B211" s="110">
        <v>0</v>
      </c>
      <c r="C211" s="109">
        <v>45120</v>
      </c>
      <c r="D211" s="98">
        <v>2023</v>
      </c>
      <c r="E211" s="102">
        <f t="shared" si="20"/>
        <v>1008.6999999999999</v>
      </c>
      <c r="F211" s="100">
        <f t="shared" si="21"/>
        <v>1008.6999999999999</v>
      </c>
      <c r="G211" s="101">
        <f t="shared" si="22"/>
        <v>2235</v>
      </c>
      <c r="H211" s="101">
        <f t="shared" si="23"/>
        <v>149</v>
      </c>
    </row>
    <row r="212" spans="1:8" ht="21" x14ac:dyDescent="0.4">
      <c r="A212" s="109" t="s">
        <v>112</v>
      </c>
      <c r="B212" s="110">
        <v>0</v>
      </c>
      <c r="C212" s="109">
        <v>45121</v>
      </c>
      <c r="D212" s="98">
        <v>2023</v>
      </c>
      <c r="E212" s="102">
        <f t="shared" si="20"/>
        <v>1023.6999999999999</v>
      </c>
      <c r="F212" s="100">
        <f t="shared" si="21"/>
        <v>1023.6999999999999</v>
      </c>
      <c r="G212" s="101">
        <f t="shared" si="22"/>
        <v>2250</v>
      </c>
      <c r="H212" s="101">
        <f t="shared" si="23"/>
        <v>150</v>
      </c>
    </row>
    <row r="213" spans="1:8" ht="21" x14ac:dyDescent="0.4">
      <c r="A213" s="109" t="s">
        <v>112</v>
      </c>
      <c r="B213" s="110">
        <v>0</v>
      </c>
      <c r="C213" s="109">
        <v>45122</v>
      </c>
      <c r="D213" s="98">
        <v>2023</v>
      </c>
      <c r="E213" s="102">
        <f t="shared" si="20"/>
        <v>1038.6999999999998</v>
      </c>
      <c r="F213" s="100">
        <f t="shared" si="21"/>
        <v>1038.6999999999998</v>
      </c>
      <c r="G213" s="101">
        <f t="shared" si="22"/>
        <v>2265</v>
      </c>
      <c r="H213" s="101">
        <f t="shared" si="23"/>
        <v>151</v>
      </c>
    </row>
    <row r="214" spans="1:8" ht="21" x14ac:dyDescent="0.4">
      <c r="A214" s="109" t="s">
        <v>25</v>
      </c>
      <c r="B214" s="110">
        <v>1</v>
      </c>
      <c r="C214" s="109">
        <v>45123</v>
      </c>
      <c r="D214" s="98">
        <v>2023</v>
      </c>
      <c r="E214" s="102">
        <f t="shared" si="20"/>
        <v>1053.6999999999998</v>
      </c>
      <c r="F214" s="100">
        <f t="shared" si="21"/>
        <v>1052.6999999999998</v>
      </c>
      <c r="G214" s="101">
        <f t="shared" si="22"/>
        <v>2280</v>
      </c>
      <c r="H214" s="101">
        <f t="shared" si="23"/>
        <v>152</v>
      </c>
    </row>
    <row r="215" spans="1:8" ht="21" x14ac:dyDescent="0.4">
      <c r="A215" s="109" t="s">
        <v>25</v>
      </c>
      <c r="B215" s="110">
        <v>1</v>
      </c>
      <c r="C215" s="109">
        <v>45124</v>
      </c>
      <c r="D215" s="98">
        <v>2023</v>
      </c>
      <c r="E215" s="102">
        <f t="shared" si="20"/>
        <v>1067.6999999999998</v>
      </c>
      <c r="F215" s="100">
        <f t="shared" si="21"/>
        <v>1066.6999999999998</v>
      </c>
      <c r="G215" s="101">
        <f t="shared" si="22"/>
        <v>2295</v>
      </c>
      <c r="H215" s="101">
        <f t="shared" si="23"/>
        <v>153</v>
      </c>
    </row>
    <row r="216" spans="1:8" ht="21" x14ac:dyDescent="0.4">
      <c r="A216" s="109" t="s">
        <v>25</v>
      </c>
      <c r="B216" s="110">
        <v>3.37</v>
      </c>
      <c r="C216" s="109">
        <v>45125</v>
      </c>
      <c r="D216" s="98">
        <v>2023</v>
      </c>
      <c r="E216" s="102">
        <f t="shared" si="20"/>
        <v>1081.6999999999998</v>
      </c>
      <c r="F216" s="100">
        <f t="shared" si="21"/>
        <v>1078.33</v>
      </c>
      <c r="G216" s="101">
        <f t="shared" si="22"/>
        <v>2310</v>
      </c>
      <c r="H216" s="101">
        <f t="shared" si="23"/>
        <v>154</v>
      </c>
    </row>
    <row r="217" spans="1:8" ht="21" x14ac:dyDescent="0.4">
      <c r="A217" s="109" t="s">
        <v>22</v>
      </c>
      <c r="B217" s="110">
        <v>53.55</v>
      </c>
      <c r="C217" s="109">
        <v>45125</v>
      </c>
      <c r="D217" s="98">
        <v>2023</v>
      </c>
      <c r="E217" s="102">
        <f t="shared" si="20"/>
        <v>1078.33</v>
      </c>
      <c r="F217" s="100">
        <f t="shared" si="21"/>
        <v>1024.78</v>
      </c>
      <c r="G217" s="101">
        <f t="shared" si="22"/>
        <v>2310</v>
      </c>
      <c r="H217" s="101">
        <f t="shared" si="23"/>
        <v>154</v>
      </c>
    </row>
    <row r="218" spans="1:8" ht="21" x14ac:dyDescent="0.4">
      <c r="A218" s="109" t="s">
        <v>25</v>
      </c>
      <c r="B218" s="110">
        <v>15.06</v>
      </c>
      <c r="C218" s="109">
        <v>45126</v>
      </c>
      <c r="D218" s="98">
        <v>2023</v>
      </c>
      <c r="E218" s="102">
        <f t="shared" si="20"/>
        <v>1039.78</v>
      </c>
      <c r="F218" s="100">
        <f t="shared" si="21"/>
        <v>1024.72</v>
      </c>
      <c r="G218" s="101">
        <f t="shared" si="22"/>
        <v>2325</v>
      </c>
      <c r="H218" s="101">
        <f t="shared" si="23"/>
        <v>155</v>
      </c>
    </row>
    <row r="219" spans="1:8" ht="21" x14ac:dyDescent="0.4">
      <c r="A219" s="109" t="s">
        <v>112</v>
      </c>
      <c r="B219" s="110">
        <v>0</v>
      </c>
      <c r="C219" s="109">
        <v>45127</v>
      </c>
      <c r="D219" s="98">
        <v>2023</v>
      </c>
      <c r="E219" s="102">
        <f t="shared" si="20"/>
        <v>1039.72</v>
      </c>
      <c r="F219" s="100">
        <f t="shared" si="21"/>
        <v>1039.72</v>
      </c>
      <c r="G219" s="101">
        <f t="shared" si="22"/>
        <v>2340</v>
      </c>
      <c r="H219" s="101">
        <f t="shared" si="23"/>
        <v>156</v>
      </c>
    </row>
    <row r="220" spans="1:8" ht="21" x14ac:dyDescent="0.4">
      <c r="A220" s="109" t="s">
        <v>112</v>
      </c>
      <c r="B220" s="110">
        <v>0</v>
      </c>
      <c r="C220" s="109">
        <v>45128</v>
      </c>
      <c r="D220" s="98">
        <v>2023</v>
      </c>
      <c r="E220" s="102">
        <f t="shared" si="20"/>
        <v>1054.72</v>
      </c>
      <c r="F220" s="100">
        <f t="shared" si="21"/>
        <v>1054.72</v>
      </c>
      <c r="G220" s="101">
        <f t="shared" si="22"/>
        <v>2355</v>
      </c>
      <c r="H220" s="101">
        <f t="shared" si="23"/>
        <v>157</v>
      </c>
    </row>
    <row r="221" spans="1:8" ht="21" x14ac:dyDescent="0.4">
      <c r="A221" s="109" t="s">
        <v>25</v>
      </c>
      <c r="B221" s="110">
        <v>1.8</v>
      </c>
      <c r="C221" s="109">
        <v>45129</v>
      </c>
      <c r="D221" s="98">
        <v>2023</v>
      </c>
      <c r="E221" s="102">
        <f t="shared" si="20"/>
        <v>1069.72</v>
      </c>
      <c r="F221" s="100">
        <f t="shared" si="21"/>
        <v>1067.92</v>
      </c>
      <c r="G221" s="101">
        <f t="shared" si="22"/>
        <v>2370</v>
      </c>
      <c r="H221" s="101">
        <f t="shared" si="23"/>
        <v>158</v>
      </c>
    </row>
    <row r="222" spans="1:8" ht="21" x14ac:dyDescent="0.4">
      <c r="A222" s="109" t="s">
        <v>112</v>
      </c>
      <c r="B222" s="110">
        <v>0</v>
      </c>
      <c r="C222" s="109">
        <v>45130</v>
      </c>
      <c r="D222" s="98">
        <v>2023</v>
      </c>
      <c r="E222" s="102">
        <f t="shared" si="20"/>
        <v>1082.92</v>
      </c>
      <c r="F222" s="100">
        <f t="shared" si="21"/>
        <v>1082.92</v>
      </c>
      <c r="G222" s="101">
        <f t="shared" si="22"/>
        <v>2385</v>
      </c>
      <c r="H222" s="101">
        <f t="shared" si="23"/>
        <v>159</v>
      </c>
    </row>
    <row r="223" spans="1:8" ht="21" x14ac:dyDescent="0.4">
      <c r="A223" s="109" t="s">
        <v>112</v>
      </c>
      <c r="B223" s="110">
        <v>0</v>
      </c>
      <c r="C223" s="109">
        <v>45131</v>
      </c>
      <c r="D223" s="98">
        <v>2023</v>
      </c>
      <c r="E223" s="102">
        <f t="shared" si="20"/>
        <v>1097.92</v>
      </c>
      <c r="F223" s="100">
        <f t="shared" si="21"/>
        <v>1097.92</v>
      </c>
      <c r="G223" s="101">
        <f t="shared" si="22"/>
        <v>2400</v>
      </c>
      <c r="H223" s="101">
        <f t="shared" si="23"/>
        <v>160</v>
      </c>
    </row>
    <row r="224" spans="1:8" ht="21" x14ac:dyDescent="0.4">
      <c r="A224" s="109" t="s">
        <v>25</v>
      </c>
      <c r="B224" s="110">
        <v>8.5</v>
      </c>
      <c r="C224" s="109">
        <v>45132</v>
      </c>
      <c r="D224" s="98">
        <v>2023</v>
      </c>
      <c r="E224" s="102">
        <f t="shared" si="20"/>
        <v>1112.92</v>
      </c>
      <c r="F224" s="100">
        <f t="shared" si="21"/>
        <v>1104.42</v>
      </c>
      <c r="G224" s="101">
        <f t="shared" si="22"/>
        <v>2415</v>
      </c>
      <c r="H224" s="101">
        <f t="shared" si="23"/>
        <v>161</v>
      </c>
    </row>
    <row r="225" spans="1:8" ht="21" x14ac:dyDescent="0.4">
      <c r="A225" s="109" t="s">
        <v>22</v>
      </c>
      <c r="B225" s="110">
        <v>5.04</v>
      </c>
      <c r="C225" s="109">
        <v>45132</v>
      </c>
      <c r="D225" s="98">
        <v>2023</v>
      </c>
      <c r="E225" s="102">
        <f t="shared" si="20"/>
        <v>1104.42</v>
      </c>
      <c r="F225" s="100">
        <f t="shared" si="21"/>
        <v>1099.3800000000001</v>
      </c>
      <c r="G225" s="101">
        <f t="shared" si="22"/>
        <v>2415</v>
      </c>
      <c r="H225" s="101">
        <f t="shared" si="23"/>
        <v>161</v>
      </c>
    </row>
    <row r="226" spans="1:8" ht="21" x14ac:dyDescent="0.4">
      <c r="A226" s="109" t="s">
        <v>22</v>
      </c>
      <c r="B226" s="110">
        <v>48.3</v>
      </c>
      <c r="C226" s="109">
        <v>45132</v>
      </c>
      <c r="D226" s="98">
        <v>2023</v>
      </c>
      <c r="E226" s="102">
        <f t="shared" si="20"/>
        <v>1099.3800000000001</v>
      </c>
      <c r="F226" s="100">
        <f t="shared" si="21"/>
        <v>1051.0800000000002</v>
      </c>
      <c r="G226" s="101">
        <f t="shared" si="22"/>
        <v>2415</v>
      </c>
      <c r="H226" s="101">
        <f t="shared" si="23"/>
        <v>161</v>
      </c>
    </row>
    <row r="227" spans="1:8" ht="21" x14ac:dyDescent="0.4">
      <c r="A227" s="109" t="s">
        <v>22</v>
      </c>
      <c r="B227" s="110">
        <v>1.75</v>
      </c>
      <c r="C227" s="109">
        <v>45133</v>
      </c>
      <c r="D227" s="98">
        <v>2023</v>
      </c>
      <c r="E227" s="102">
        <f t="shared" si="20"/>
        <v>1066.0800000000002</v>
      </c>
      <c r="F227" s="100">
        <f t="shared" si="21"/>
        <v>1064.3300000000002</v>
      </c>
      <c r="G227" s="101">
        <f t="shared" si="22"/>
        <v>2430</v>
      </c>
      <c r="H227" s="101">
        <f t="shared" si="23"/>
        <v>162</v>
      </c>
    </row>
    <row r="228" spans="1:8" ht="21" x14ac:dyDescent="0.4">
      <c r="A228" s="109" t="s">
        <v>112</v>
      </c>
      <c r="B228" s="110">
        <v>0</v>
      </c>
      <c r="C228" s="109">
        <v>45134</v>
      </c>
      <c r="D228" s="98">
        <v>2023</v>
      </c>
      <c r="E228" s="102">
        <f t="shared" si="20"/>
        <v>1079.3300000000002</v>
      </c>
      <c r="F228" s="100">
        <f t="shared" si="21"/>
        <v>1079.3300000000002</v>
      </c>
      <c r="G228" s="101">
        <f t="shared" si="22"/>
        <v>2445</v>
      </c>
      <c r="H228" s="101">
        <f t="shared" si="23"/>
        <v>163</v>
      </c>
    </row>
    <row r="229" spans="1:8" ht="21" x14ac:dyDescent="0.4">
      <c r="A229" s="109" t="s">
        <v>25</v>
      </c>
      <c r="B229" s="110">
        <v>1.8</v>
      </c>
      <c r="C229" s="109">
        <v>45135</v>
      </c>
      <c r="D229" s="98">
        <v>2023</v>
      </c>
      <c r="E229" s="102">
        <f t="shared" si="20"/>
        <v>1094.3300000000002</v>
      </c>
      <c r="F229" s="100">
        <f t="shared" si="21"/>
        <v>1092.5300000000002</v>
      </c>
      <c r="G229" s="101">
        <f t="shared" si="22"/>
        <v>2460</v>
      </c>
      <c r="H229" s="101">
        <f t="shared" si="23"/>
        <v>164</v>
      </c>
    </row>
    <row r="230" spans="1:8" ht="21" x14ac:dyDescent="0.4">
      <c r="A230" s="109" t="s">
        <v>25</v>
      </c>
      <c r="B230" s="110">
        <v>1</v>
      </c>
      <c r="C230" s="109">
        <v>45136</v>
      </c>
      <c r="D230" s="98">
        <v>2023</v>
      </c>
      <c r="E230" s="102">
        <f t="shared" si="20"/>
        <v>1107.5300000000002</v>
      </c>
      <c r="F230" s="100">
        <f t="shared" si="21"/>
        <v>1106.5300000000002</v>
      </c>
      <c r="G230" s="101">
        <f t="shared" si="22"/>
        <v>2475</v>
      </c>
      <c r="H230" s="101">
        <f t="shared" si="23"/>
        <v>165</v>
      </c>
    </row>
    <row r="231" spans="1:8" ht="21" x14ac:dyDescent="0.4">
      <c r="A231" s="109" t="s">
        <v>25</v>
      </c>
      <c r="B231" s="110">
        <v>2.8</v>
      </c>
      <c r="C231" s="109">
        <v>45137</v>
      </c>
      <c r="D231" s="98">
        <v>2023</v>
      </c>
      <c r="E231" s="102">
        <f t="shared" si="20"/>
        <v>1121.5300000000002</v>
      </c>
      <c r="F231" s="100">
        <f t="shared" si="21"/>
        <v>1118.7300000000002</v>
      </c>
      <c r="G231" s="101">
        <f t="shared" si="22"/>
        <v>2490</v>
      </c>
      <c r="H231" s="101">
        <f t="shared" si="23"/>
        <v>166</v>
      </c>
    </row>
    <row r="232" spans="1:8" ht="21" x14ac:dyDescent="0.4">
      <c r="A232" s="109" t="s">
        <v>22</v>
      </c>
      <c r="B232" s="110">
        <v>99</v>
      </c>
      <c r="C232" s="109">
        <v>45138</v>
      </c>
      <c r="D232" s="98">
        <v>2023</v>
      </c>
      <c r="E232" s="102">
        <f t="shared" si="20"/>
        <v>1133.7300000000002</v>
      </c>
      <c r="F232" s="100">
        <f t="shared" si="21"/>
        <v>1034.7300000000002</v>
      </c>
      <c r="G232" s="101">
        <f t="shared" si="22"/>
        <v>2505</v>
      </c>
      <c r="H232" s="101">
        <f t="shared" si="23"/>
        <v>167</v>
      </c>
    </row>
    <row r="233" spans="1:8" ht="21" x14ac:dyDescent="0.4">
      <c r="A233" s="109" t="s">
        <v>112</v>
      </c>
      <c r="B233" s="110">
        <v>0</v>
      </c>
      <c r="C233" s="109">
        <v>45139</v>
      </c>
      <c r="D233" s="98">
        <v>2023</v>
      </c>
      <c r="E233" s="102">
        <f t="shared" si="20"/>
        <v>1049.7300000000002</v>
      </c>
      <c r="F233" s="100">
        <f t="shared" si="21"/>
        <v>1049.7300000000002</v>
      </c>
      <c r="G233" s="101">
        <f t="shared" si="22"/>
        <v>2520</v>
      </c>
      <c r="H233" s="101">
        <f t="shared" si="23"/>
        <v>168</v>
      </c>
    </row>
    <row r="234" spans="1:8" ht="21" x14ac:dyDescent="0.4">
      <c r="A234" s="109" t="s">
        <v>25</v>
      </c>
      <c r="B234" s="110">
        <v>1.1499999999999999</v>
      </c>
      <c r="C234" s="109">
        <v>45140</v>
      </c>
      <c r="D234" s="98">
        <v>2023</v>
      </c>
      <c r="E234" s="102">
        <f t="shared" si="20"/>
        <v>1064.7300000000002</v>
      </c>
      <c r="F234" s="100">
        <f t="shared" si="21"/>
        <v>1063.5800000000002</v>
      </c>
      <c r="G234" s="101">
        <f t="shared" si="22"/>
        <v>2535</v>
      </c>
      <c r="H234" s="101">
        <f t="shared" si="23"/>
        <v>169</v>
      </c>
    </row>
    <row r="235" spans="1:8" ht="21" x14ac:dyDescent="0.4">
      <c r="A235" s="109" t="s">
        <v>25</v>
      </c>
      <c r="B235" s="110">
        <v>4</v>
      </c>
      <c r="C235" s="109">
        <v>45141</v>
      </c>
      <c r="D235" s="98">
        <v>2023</v>
      </c>
      <c r="E235" s="102">
        <f t="shared" si="20"/>
        <v>1078.5800000000002</v>
      </c>
      <c r="F235" s="100">
        <f t="shared" si="21"/>
        <v>1074.5800000000002</v>
      </c>
      <c r="G235" s="101">
        <f t="shared" si="22"/>
        <v>2550</v>
      </c>
      <c r="H235" s="101">
        <f t="shared" si="23"/>
        <v>170</v>
      </c>
    </row>
    <row r="236" spans="1:8" ht="21" x14ac:dyDescent="0.4">
      <c r="A236" s="109" t="s">
        <v>25</v>
      </c>
      <c r="B236" s="110">
        <v>2.83</v>
      </c>
      <c r="C236" s="109">
        <v>45142</v>
      </c>
      <c r="D236" s="98">
        <v>2023</v>
      </c>
      <c r="E236" s="102">
        <f t="shared" si="20"/>
        <v>1089.5800000000002</v>
      </c>
      <c r="F236" s="100">
        <f t="shared" si="21"/>
        <v>1086.7500000000002</v>
      </c>
      <c r="G236" s="101">
        <f t="shared" si="22"/>
        <v>2565</v>
      </c>
      <c r="H236" s="101">
        <f t="shared" si="23"/>
        <v>171</v>
      </c>
    </row>
    <row r="237" spans="1:8" ht="21" x14ac:dyDescent="0.4">
      <c r="A237" s="109" t="s">
        <v>25</v>
      </c>
      <c r="B237" s="110">
        <v>16</v>
      </c>
      <c r="C237" s="109">
        <v>45143</v>
      </c>
      <c r="D237" s="98">
        <v>2023</v>
      </c>
      <c r="E237" s="102">
        <f t="shared" si="20"/>
        <v>1101.7500000000002</v>
      </c>
      <c r="F237" s="100">
        <f t="shared" si="21"/>
        <v>1085.7500000000002</v>
      </c>
      <c r="G237" s="101">
        <f t="shared" si="22"/>
        <v>2580</v>
      </c>
      <c r="H237" s="101">
        <f t="shared" si="23"/>
        <v>172</v>
      </c>
    </row>
    <row r="238" spans="1:8" ht="21" x14ac:dyDescent="0.4">
      <c r="A238" s="109" t="s">
        <v>25</v>
      </c>
      <c r="B238" s="110">
        <v>1.1499999999999999</v>
      </c>
      <c r="C238" s="109">
        <v>45144</v>
      </c>
      <c r="D238" s="98">
        <v>2023</v>
      </c>
      <c r="E238" s="102">
        <f t="shared" si="20"/>
        <v>1100.7500000000002</v>
      </c>
      <c r="F238" s="100">
        <f t="shared" si="21"/>
        <v>1099.6000000000001</v>
      </c>
      <c r="G238" s="101">
        <f t="shared" si="22"/>
        <v>2595</v>
      </c>
      <c r="H238" s="101">
        <f t="shared" si="23"/>
        <v>173</v>
      </c>
    </row>
    <row r="239" spans="1:8" ht="21" x14ac:dyDescent="0.4">
      <c r="A239" s="109" t="s">
        <v>25</v>
      </c>
      <c r="B239" s="110">
        <v>2.5</v>
      </c>
      <c r="C239" s="109">
        <v>45145</v>
      </c>
      <c r="D239" s="98">
        <v>2023</v>
      </c>
      <c r="E239" s="102">
        <f t="shared" si="20"/>
        <v>1114.6000000000001</v>
      </c>
      <c r="F239" s="100">
        <f t="shared" si="21"/>
        <v>1112.1000000000001</v>
      </c>
      <c r="G239" s="101">
        <f t="shared" si="22"/>
        <v>2610</v>
      </c>
      <c r="H239" s="101">
        <f t="shared" si="23"/>
        <v>174</v>
      </c>
    </row>
    <row r="240" spans="1:8" ht="21" x14ac:dyDescent="0.4">
      <c r="A240" s="109" t="s">
        <v>25</v>
      </c>
      <c r="B240" s="110">
        <v>9.6300000000000008</v>
      </c>
      <c r="C240" s="109">
        <v>45145</v>
      </c>
      <c r="D240" s="98">
        <v>2023</v>
      </c>
      <c r="E240" s="102">
        <f t="shared" si="20"/>
        <v>1112.1000000000001</v>
      </c>
      <c r="F240" s="100">
        <f t="shared" si="21"/>
        <v>1102.47</v>
      </c>
      <c r="G240" s="101">
        <f t="shared" si="22"/>
        <v>2610</v>
      </c>
      <c r="H240" s="101">
        <f t="shared" si="23"/>
        <v>174</v>
      </c>
    </row>
    <row r="241" spans="1:8" ht="21" x14ac:dyDescent="0.4">
      <c r="A241" s="109" t="s">
        <v>22</v>
      </c>
      <c r="B241" s="110">
        <v>2.15</v>
      </c>
      <c r="C241" s="109">
        <v>45146</v>
      </c>
      <c r="D241" s="98">
        <v>2023</v>
      </c>
      <c r="E241" s="102">
        <f t="shared" si="20"/>
        <v>1117.47</v>
      </c>
      <c r="F241" s="100">
        <f t="shared" si="21"/>
        <v>1115.32</v>
      </c>
      <c r="G241" s="101">
        <f t="shared" si="22"/>
        <v>2625</v>
      </c>
      <c r="H241" s="101">
        <f t="shared" si="23"/>
        <v>175</v>
      </c>
    </row>
    <row r="242" spans="1:8" ht="21" x14ac:dyDescent="0.4">
      <c r="A242" s="109" t="s">
        <v>25</v>
      </c>
      <c r="B242" s="110">
        <v>6</v>
      </c>
      <c r="C242" s="109">
        <v>45147</v>
      </c>
      <c r="D242" s="98">
        <v>2023</v>
      </c>
      <c r="E242" s="102">
        <f t="shared" si="20"/>
        <v>1130.32</v>
      </c>
      <c r="F242" s="100">
        <f t="shared" si="21"/>
        <v>1124.32</v>
      </c>
      <c r="G242" s="101">
        <f t="shared" si="22"/>
        <v>2640</v>
      </c>
      <c r="H242" s="101">
        <f t="shared" si="23"/>
        <v>176</v>
      </c>
    </row>
    <row r="243" spans="1:8" ht="21" x14ac:dyDescent="0.4">
      <c r="A243" s="109" t="s">
        <v>25</v>
      </c>
      <c r="B243" s="110">
        <v>2</v>
      </c>
      <c r="C243" s="109">
        <v>45148</v>
      </c>
      <c r="D243" s="98">
        <v>2023</v>
      </c>
      <c r="E243" s="102">
        <f t="shared" si="20"/>
        <v>1139.32</v>
      </c>
      <c r="F243" s="100">
        <f t="shared" si="21"/>
        <v>1137.32</v>
      </c>
      <c r="G243" s="101">
        <f t="shared" si="22"/>
        <v>2655</v>
      </c>
      <c r="H243" s="101">
        <f t="shared" si="23"/>
        <v>177</v>
      </c>
    </row>
    <row r="244" spans="1:8" ht="21" x14ac:dyDescent="0.4">
      <c r="A244" s="109" t="s">
        <v>25</v>
      </c>
      <c r="B244" s="110">
        <v>16</v>
      </c>
      <c r="C244" s="109">
        <v>45149</v>
      </c>
      <c r="D244" s="98">
        <v>2023</v>
      </c>
      <c r="E244" s="102">
        <f t="shared" si="20"/>
        <v>1152.32</v>
      </c>
      <c r="F244" s="100">
        <f t="shared" si="21"/>
        <v>1136.32</v>
      </c>
      <c r="G244" s="101">
        <f t="shared" si="22"/>
        <v>2670</v>
      </c>
      <c r="H244" s="101">
        <f t="shared" si="23"/>
        <v>178</v>
      </c>
    </row>
    <row r="245" spans="1:8" ht="21" x14ac:dyDescent="0.4">
      <c r="A245" s="109" t="s">
        <v>22</v>
      </c>
      <c r="B245" s="110">
        <v>66.86</v>
      </c>
      <c r="C245" s="109">
        <v>45150</v>
      </c>
      <c r="D245" s="98">
        <v>2023</v>
      </c>
      <c r="E245" s="102">
        <f t="shared" si="20"/>
        <v>1151.32</v>
      </c>
      <c r="F245" s="100">
        <f t="shared" si="21"/>
        <v>1084.46</v>
      </c>
      <c r="G245" s="101">
        <f t="shared" si="22"/>
        <v>2685</v>
      </c>
      <c r="H245" s="101">
        <f t="shared" si="23"/>
        <v>179</v>
      </c>
    </row>
    <row r="246" spans="1:8" ht="21" x14ac:dyDescent="0.4">
      <c r="A246" s="109" t="s">
        <v>22</v>
      </c>
      <c r="B246" s="110">
        <v>20.350000000000001</v>
      </c>
      <c r="C246" s="109">
        <v>45151</v>
      </c>
      <c r="D246" s="98">
        <v>2023</v>
      </c>
      <c r="E246" s="102">
        <f t="shared" si="20"/>
        <v>1099.46</v>
      </c>
      <c r="F246" s="100">
        <f t="shared" si="21"/>
        <v>1079.1100000000001</v>
      </c>
      <c r="G246" s="101">
        <f t="shared" si="22"/>
        <v>2700</v>
      </c>
      <c r="H246" s="101">
        <f t="shared" si="23"/>
        <v>180</v>
      </c>
    </row>
    <row r="247" spans="1:8" ht="21" x14ac:dyDescent="0.4">
      <c r="A247" s="109" t="s">
        <v>25</v>
      </c>
      <c r="B247" s="110">
        <v>3.1</v>
      </c>
      <c r="C247" s="109">
        <v>45152</v>
      </c>
      <c r="D247" s="98">
        <v>2023</v>
      </c>
      <c r="E247" s="102">
        <f t="shared" si="20"/>
        <v>1094.1100000000001</v>
      </c>
      <c r="F247" s="100">
        <f t="shared" si="21"/>
        <v>1091.0100000000002</v>
      </c>
      <c r="G247" s="101">
        <f t="shared" si="22"/>
        <v>2715</v>
      </c>
      <c r="H247" s="101">
        <f t="shared" si="23"/>
        <v>181</v>
      </c>
    </row>
    <row r="248" spans="1:8" ht="21" x14ac:dyDescent="0.4">
      <c r="A248" s="109" t="s">
        <v>25</v>
      </c>
      <c r="B248" s="110">
        <v>1.8</v>
      </c>
      <c r="C248" s="109">
        <v>45153</v>
      </c>
      <c r="D248" s="98">
        <v>2023</v>
      </c>
      <c r="E248" s="102">
        <f t="shared" si="20"/>
        <v>1106.0100000000002</v>
      </c>
      <c r="F248" s="100">
        <f t="shared" si="21"/>
        <v>1104.2100000000003</v>
      </c>
      <c r="G248" s="101">
        <f t="shared" si="22"/>
        <v>2730</v>
      </c>
      <c r="H248" s="101">
        <f t="shared" si="23"/>
        <v>182</v>
      </c>
    </row>
    <row r="249" spans="1:8" ht="21" x14ac:dyDescent="0.4">
      <c r="A249" s="109" t="s">
        <v>25</v>
      </c>
      <c r="B249" s="110">
        <v>12</v>
      </c>
      <c r="C249" s="109">
        <v>45154</v>
      </c>
      <c r="D249" s="98">
        <v>2023</v>
      </c>
      <c r="E249" s="102">
        <f t="shared" si="20"/>
        <v>1119.2100000000003</v>
      </c>
      <c r="F249" s="100">
        <f t="shared" si="21"/>
        <v>1107.2100000000003</v>
      </c>
      <c r="G249" s="101">
        <f t="shared" si="22"/>
        <v>2745</v>
      </c>
      <c r="H249" s="101">
        <f t="shared" si="23"/>
        <v>183</v>
      </c>
    </row>
    <row r="250" spans="1:8" ht="21" x14ac:dyDescent="0.4">
      <c r="A250" s="109" t="s">
        <v>25</v>
      </c>
      <c r="B250" s="110">
        <v>16</v>
      </c>
      <c r="C250" s="109">
        <v>45155</v>
      </c>
      <c r="D250" s="98">
        <v>2023</v>
      </c>
      <c r="E250" s="102">
        <f t="shared" si="20"/>
        <v>1122.2100000000003</v>
      </c>
      <c r="F250" s="100">
        <f t="shared" si="21"/>
        <v>1106.2100000000003</v>
      </c>
      <c r="G250" s="101">
        <f t="shared" si="22"/>
        <v>2760</v>
      </c>
      <c r="H250" s="101">
        <f t="shared" si="23"/>
        <v>184</v>
      </c>
    </row>
    <row r="251" spans="1:8" ht="21" x14ac:dyDescent="0.4">
      <c r="A251" s="109" t="s">
        <v>25</v>
      </c>
      <c r="B251" s="110">
        <v>1.8</v>
      </c>
      <c r="C251" s="109">
        <v>45156</v>
      </c>
      <c r="D251" s="98">
        <v>2023</v>
      </c>
      <c r="E251" s="102">
        <f t="shared" si="20"/>
        <v>1121.2100000000003</v>
      </c>
      <c r="F251" s="100">
        <f t="shared" si="21"/>
        <v>1119.4100000000003</v>
      </c>
      <c r="G251" s="101">
        <f t="shared" si="22"/>
        <v>2775</v>
      </c>
      <c r="H251" s="101">
        <f t="shared" si="23"/>
        <v>185</v>
      </c>
    </row>
    <row r="252" spans="1:8" ht="21" x14ac:dyDescent="0.4">
      <c r="A252" s="109" t="s">
        <v>25</v>
      </c>
      <c r="B252" s="110">
        <v>1.8</v>
      </c>
      <c r="C252" s="109">
        <v>45157</v>
      </c>
      <c r="D252" s="98">
        <v>2023</v>
      </c>
      <c r="E252" s="102">
        <f t="shared" si="20"/>
        <v>1134.4100000000003</v>
      </c>
      <c r="F252" s="100">
        <f t="shared" si="21"/>
        <v>1132.6100000000004</v>
      </c>
      <c r="G252" s="101">
        <f t="shared" si="22"/>
        <v>2790</v>
      </c>
      <c r="H252" s="101">
        <f t="shared" si="23"/>
        <v>186</v>
      </c>
    </row>
    <row r="253" spans="1:8" ht="21" x14ac:dyDescent="0.4">
      <c r="A253" s="109" t="s">
        <v>112</v>
      </c>
      <c r="B253" s="110">
        <v>0</v>
      </c>
      <c r="C253" s="109">
        <v>45158</v>
      </c>
      <c r="D253" s="98">
        <v>2023</v>
      </c>
      <c r="E253" s="102">
        <f t="shared" si="20"/>
        <v>1147.6100000000004</v>
      </c>
      <c r="F253" s="100">
        <f t="shared" si="21"/>
        <v>1147.6100000000004</v>
      </c>
      <c r="G253" s="101">
        <f t="shared" si="22"/>
        <v>2805</v>
      </c>
      <c r="H253" s="101">
        <f t="shared" si="23"/>
        <v>187</v>
      </c>
    </row>
    <row r="254" spans="1:8" ht="21" x14ac:dyDescent="0.4">
      <c r="A254" s="109" t="s">
        <v>25</v>
      </c>
      <c r="B254" s="110">
        <v>19</v>
      </c>
      <c r="C254" s="109">
        <v>45159</v>
      </c>
      <c r="D254" s="98">
        <v>2023</v>
      </c>
      <c r="E254" s="102">
        <f t="shared" si="20"/>
        <v>1162.6100000000004</v>
      </c>
      <c r="F254" s="100">
        <f t="shared" si="21"/>
        <v>1143.6100000000004</v>
      </c>
      <c r="G254" s="101">
        <f t="shared" si="22"/>
        <v>2820</v>
      </c>
      <c r="H254" s="101">
        <f t="shared" si="23"/>
        <v>188</v>
      </c>
    </row>
    <row r="255" spans="1:8" ht="21" x14ac:dyDescent="0.4">
      <c r="A255" s="109" t="s">
        <v>25</v>
      </c>
      <c r="B255" s="110">
        <v>1.8</v>
      </c>
      <c r="C255" s="109">
        <v>45160</v>
      </c>
      <c r="D255" s="98">
        <v>2023</v>
      </c>
      <c r="E255" s="102">
        <f t="shared" ref="E255:E318" si="24">IF(C255=C254,F254,F254+15)</f>
        <v>1158.6100000000004</v>
      </c>
      <c r="F255" s="100">
        <f t="shared" ref="F255:F318" si="25">E255-B255</f>
        <v>1156.8100000000004</v>
      </c>
      <c r="G255" s="101">
        <f t="shared" ref="G255:G318" si="26">IF(C255&lt;&gt;C254, 15+G254,G254)</f>
        <v>2835</v>
      </c>
      <c r="H255" s="101">
        <f t="shared" ref="H255:H318" si="27">G255/15</f>
        <v>189</v>
      </c>
    </row>
    <row r="256" spans="1:8" ht="21" x14ac:dyDescent="0.4">
      <c r="A256" s="109" t="s">
        <v>22</v>
      </c>
      <c r="B256" s="110">
        <v>52.36</v>
      </c>
      <c r="C256" s="109">
        <v>45160</v>
      </c>
      <c r="D256" s="98">
        <v>2023</v>
      </c>
      <c r="E256" s="102">
        <f t="shared" si="24"/>
        <v>1156.8100000000004</v>
      </c>
      <c r="F256" s="100">
        <f t="shared" si="25"/>
        <v>1104.4500000000005</v>
      </c>
      <c r="G256" s="101">
        <f t="shared" si="26"/>
        <v>2835</v>
      </c>
      <c r="H256" s="101">
        <f t="shared" si="27"/>
        <v>189</v>
      </c>
    </row>
    <row r="257" spans="1:8" ht="21" x14ac:dyDescent="0.4">
      <c r="A257" s="109" t="s">
        <v>25</v>
      </c>
      <c r="B257" s="110">
        <v>2.8</v>
      </c>
      <c r="C257" s="109">
        <v>45161</v>
      </c>
      <c r="D257" s="98">
        <v>2023</v>
      </c>
      <c r="E257" s="102">
        <f t="shared" si="24"/>
        <v>1119.4500000000005</v>
      </c>
      <c r="F257" s="100">
        <f t="shared" si="25"/>
        <v>1116.6500000000005</v>
      </c>
      <c r="G257" s="101">
        <f t="shared" si="26"/>
        <v>2850</v>
      </c>
      <c r="H257" s="101">
        <f t="shared" si="27"/>
        <v>190</v>
      </c>
    </row>
    <row r="258" spans="1:8" ht="21" x14ac:dyDescent="0.4">
      <c r="A258" s="109" t="s">
        <v>112</v>
      </c>
      <c r="B258" s="110">
        <v>0</v>
      </c>
      <c r="C258" s="109">
        <v>45162</v>
      </c>
      <c r="D258" s="98">
        <v>2023</v>
      </c>
      <c r="E258" s="102">
        <f t="shared" si="24"/>
        <v>1131.6500000000005</v>
      </c>
      <c r="F258" s="100">
        <f t="shared" si="25"/>
        <v>1131.6500000000005</v>
      </c>
      <c r="G258" s="101">
        <f t="shared" si="26"/>
        <v>2865</v>
      </c>
      <c r="H258" s="101">
        <f t="shared" si="27"/>
        <v>191</v>
      </c>
    </row>
    <row r="259" spans="1:8" ht="21" x14ac:dyDescent="0.4">
      <c r="A259" s="109" t="s">
        <v>25</v>
      </c>
      <c r="B259" s="110">
        <v>2</v>
      </c>
      <c r="C259" s="109">
        <v>45163</v>
      </c>
      <c r="D259" s="98">
        <v>2023</v>
      </c>
      <c r="E259" s="102">
        <f t="shared" si="24"/>
        <v>1146.6500000000005</v>
      </c>
      <c r="F259" s="100">
        <f t="shared" si="25"/>
        <v>1144.6500000000005</v>
      </c>
      <c r="G259" s="101">
        <f t="shared" si="26"/>
        <v>2880</v>
      </c>
      <c r="H259" s="101">
        <f t="shared" si="27"/>
        <v>192</v>
      </c>
    </row>
    <row r="260" spans="1:8" ht="21" x14ac:dyDescent="0.4">
      <c r="A260" s="109" t="s">
        <v>25</v>
      </c>
      <c r="B260" s="110">
        <v>24.5</v>
      </c>
      <c r="C260" s="109">
        <v>45164</v>
      </c>
      <c r="D260" s="98">
        <v>2023</v>
      </c>
      <c r="E260" s="102">
        <f t="shared" si="24"/>
        <v>1159.6500000000005</v>
      </c>
      <c r="F260" s="100">
        <f t="shared" si="25"/>
        <v>1135.1500000000005</v>
      </c>
      <c r="G260" s="101">
        <f t="shared" si="26"/>
        <v>2895</v>
      </c>
      <c r="H260" s="101">
        <f t="shared" si="27"/>
        <v>193</v>
      </c>
    </row>
    <row r="261" spans="1:8" ht="21" x14ac:dyDescent="0.4">
      <c r="A261" s="109" t="s">
        <v>22</v>
      </c>
      <c r="B261" s="110">
        <v>37.9</v>
      </c>
      <c r="C261" s="109">
        <v>45165</v>
      </c>
      <c r="D261" s="98">
        <v>2023</v>
      </c>
      <c r="E261" s="102">
        <f t="shared" si="24"/>
        <v>1150.1500000000005</v>
      </c>
      <c r="F261" s="100">
        <f t="shared" si="25"/>
        <v>1112.2500000000005</v>
      </c>
      <c r="G261" s="101">
        <f t="shared" si="26"/>
        <v>2910</v>
      </c>
      <c r="H261" s="101">
        <f t="shared" si="27"/>
        <v>194</v>
      </c>
    </row>
    <row r="262" spans="1:8" ht="21" x14ac:dyDescent="0.4">
      <c r="A262" s="109" t="s">
        <v>112</v>
      </c>
      <c r="B262" s="110">
        <v>0</v>
      </c>
      <c r="C262" s="109">
        <v>45166</v>
      </c>
      <c r="D262" s="98">
        <v>2023</v>
      </c>
      <c r="E262" s="102">
        <f t="shared" si="24"/>
        <v>1127.2500000000005</v>
      </c>
      <c r="F262" s="100">
        <f t="shared" si="25"/>
        <v>1127.2500000000005</v>
      </c>
      <c r="G262" s="101">
        <f t="shared" si="26"/>
        <v>2925</v>
      </c>
      <c r="H262" s="101">
        <f t="shared" si="27"/>
        <v>195</v>
      </c>
    </row>
    <row r="263" spans="1:8" ht="21" x14ac:dyDescent="0.4">
      <c r="A263" s="109" t="s">
        <v>25</v>
      </c>
      <c r="B263" s="110">
        <v>13.2</v>
      </c>
      <c r="C263" s="109">
        <v>45167</v>
      </c>
      <c r="D263" s="98">
        <v>2023</v>
      </c>
      <c r="E263" s="102">
        <f t="shared" si="24"/>
        <v>1142.2500000000005</v>
      </c>
      <c r="F263" s="100">
        <f t="shared" si="25"/>
        <v>1129.0500000000004</v>
      </c>
      <c r="G263" s="101">
        <f t="shared" si="26"/>
        <v>2940</v>
      </c>
      <c r="H263" s="101">
        <f t="shared" si="27"/>
        <v>196</v>
      </c>
    </row>
    <row r="264" spans="1:8" ht="21" x14ac:dyDescent="0.4">
      <c r="A264" s="109" t="s">
        <v>112</v>
      </c>
      <c r="B264" s="110">
        <v>0</v>
      </c>
      <c r="C264" s="109">
        <v>45168</v>
      </c>
      <c r="D264" s="98">
        <v>2023</v>
      </c>
      <c r="E264" s="102">
        <f t="shared" si="24"/>
        <v>1144.0500000000004</v>
      </c>
      <c r="F264" s="100">
        <f t="shared" si="25"/>
        <v>1144.0500000000004</v>
      </c>
      <c r="G264" s="101">
        <f t="shared" si="26"/>
        <v>2955</v>
      </c>
      <c r="H264" s="101">
        <f t="shared" si="27"/>
        <v>197</v>
      </c>
    </row>
    <row r="265" spans="1:8" ht="21" x14ac:dyDescent="0.4">
      <c r="A265" s="109" t="s">
        <v>25</v>
      </c>
      <c r="B265" s="110">
        <v>27</v>
      </c>
      <c r="C265" s="109">
        <v>45169</v>
      </c>
      <c r="D265" s="98">
        <v>2023</v>
      </c>
      <c r="E265" s="102">
        <f t="shared" si="24"/>
        <v>1159.0500000000004</v>
      </c>
      <c r="F265" s="100">
        <f t="shared" si="25"/>
        <v>1132.0500000000004</v>
      </c>
      <c r="G265" s="101">
        <f t="shared" si="26"/>
        <v>2970</v>
      </c>
      <c r="H265" s="101">
        <f t="shared" si="27"/>
        <v>198</v>
      </c>
    </row>
    <row r="266" spans="1:8" ht="21" x14ac:dyDescent="0.4">
      <c r="A266" s="109" t="s">
        <v>22</v>
      </c>
      <c r="B266" s="110">
        <v>42</v>
      </c>
      <c r="C266" s="109">
        <v>45170</v>
      </c>
      <c r="D266" s="98">
        <v>2023</v>
      </c>
      <c r="E266" s="102">
        <f t="shared" si="24"/>
        <v>1147.0500000000004</v>
      </c>
      <c r="F266" s="100">
        <f t="shared" si="25"/>
        <v>1105.0500000000004</v>
      </c>
      <c r="G266" s="101">
        <f t="shared" si="26"/>
        <v>2985</v>
      </c>
      <c r="H266" s="101">
        <f t="shared" si="27"/>
        <v>199</v>
      </c>
    </row>
    <row r="267" spans="1:8" ht="21" x14ac:dyDescent="0.4">
      <c r="A267" s="109" t="s">
        <v>25</v>
      </c>
      <c r="B267" s="110">
        <v>3.15</v>
      </c>
      <c r="C267" s="109">
        <v>45171</v>
      </c>
      <c r="D267" s="98">
        <v>2023</v>
      </c>
      <c r="E267" s="102">
        <f t="shared" si="24"/>
        <v>1120.0500000000004</v>
      </c>
      <c r="F267" s="100">
        <f t="shared" si="25"/>
        <v>1116.9000000000003</v>
      </c>
      <c r="G267" s="101">
        <f t="shared" si="26"/>
        <v>3000</v>
      </c>
      <c r="H267" s="101">
        <f t="shared" si="27"/>
        <v>200</v>
      </c>
    </row>
    <row r="268" spans="1:8" ht="21" x14ac:dyDescent="0.4">
      <c r="A268" s="109" t="s">
        <v>25</v>
      </c>
      <c r="B268" s="110">
        <v>17.5</v>
      </c>
      <c r="C268" s="109">
        <v>45172</v>
      </c>
      <c r="D268" s="98">
        <v>2023</v>
      </c>
      <c r="E268" s="102">
        <f t="shared" si="24"/>
        <v>1131.9000000000003</v>
      </c>
      <c r="F268" s="100">
        <f t="shared" si="25"/>
        <v>1114.4000000000003</v>
      </c>
      <c r="G268" s="101">
        <f t="shared" si="26"/>
        <v>3015</v>
      </c>
      <c r="H268" s="101">
        <f t="shared" si="27"/>
        <v>201</v>
      </c>
    </row>
    <row r="269" spans="1:8" ht="21" x14ac:dyDescent="0.4">
      <c r="A269" s="109" t="s">
        <v>25</v>
      </c>
      <c r="B269" s="110">
        <v>2.15</v>
      </c>
      <c r="C269" s="109">
        <v>45173</v>
      </c>
      <c r="D269" s="98">
        <v>2023</v>
      </c>
      <c r="E269" s="102">
        <f t="shared" si="24"/>
        <v>1129.4000000000003</v>
      </c>
      <c r="F269" s="100">
        <f t="shared" si="25"/>
        <v>1127.2500000000002</v>
      </c>
      <c r="G269" s="101">
        <f t="shared" si="26"/>
        <v>3030</v>
      </c>
      <c r="H269" s="101">
        <f t="shared" si="27"/>
        <v>202</v>
      </c>
    </row>
    <row r="270" spans="1:8" ht="21" x14ac:dyDescent="0.4">
      <c r="A270" s="109" t="s">
        <v>22</v>
      </c>
      <c r="B270" s="110">
        <v>50.2</v>
      </c>
      <c r="C270" s="109">
        <v>45173</v>
      </c>
      <c r="D270" s="98">
        <v>2023</v>
      </c>
      <c r="E270" s="102">
        <f t="shared" si="24"/>
        <v>1127.2500000000002</v>
      </c>
      <c r="F270" s="100">
        <f t="shared" si="25"/>
        <v>1077.0500000000002</v>
      </c>
      <c r="G270" s="101">
        <f t="shared" si="26"/>
        <v>3030</v>
      </c>
      <c r="H270" s="101">
        <f t="shared" si="27"/>
        <v>202</v>
      </c>
    </row>
    <row r="271" spans="1:8" ht="21" x14ac:dyDescent="0.4">
      <c r="A271" s="109" t="s">
        <v>25</v>
      </c>
      <c r="B271" s="110">
        <v>5.07</v>
      </c>
      <c r="C271" s="109">
        <v>45174</v>
      </c>
      <c r="D271" s="98">
        <v>2023</v>
      </c>
      <c r="E271" s="102">
        <f t="shared" si="24"/>
        <v>1092.0500000000002</v>
      </c>
      <c r="F271" s="100">
        <f t="shared" si="25"/>
        <v>1086.9800000000002</v>
      </c>
      <c r="G271" s="101">
        <f t="shared" si="26"/>
        <v>3045</v>
      </c>
      <c r="H271" s="101">
        <f t="shared" si="27"/>
        <v>203</v>
      </c>
    </row>
    <row r="272" spans="1:8" ht="21" x14ac:dyDescent="0.4">
      <c r="A272" s="109" t="s">
        <v>112</v>
      </c>
      <c r="B272" s="110">
        <v>0</v>
      </c>
      <c r="C272" s="109">
        <v>45175</v>
      </c>
      <c r="D272" s="98">
        <v>2023</v>
      </c>
      <c r="E272" s="102">
        <f t="shared" si="24"/>
        <v>1101.9800000000002</v>
      </c>
      <c r="F272" s="100">
        <f t="shared" si="25"/>
        <v>1101.9800000000002</v>
      </c>
      <c r="G272" s="101">
        <f t="shared" si="26"/>
        <v>3060</v>
      </c>
      <c r="H272" s="101">
        <f t="shared" si="27"/>
        <v>204</v>
      </c>
    </row>
    <row r="273" spans="1:8" ht="21" x14ac:dyDescent="0.4">
      <c r="A273" s="109" t="s">
        <v>25</v>
      </c>
      <c r="B273" s="110">
        <v>15.12</v>
      </c>
      <c r="C273" s="109">
        <v>45176</v>
      </c>
      <c r="D273" s="98">
        <v>2023</v>
      </c>
      <c r="E273" s="102">
        <f t="shared" si="24"/>
        <v>1116.9800000000002</v>
      </c>
      <c r="F273" s="100">
        <f t="shared" si="25"/>
        <v>1101.8600000000004</v>
      </c>
      <c r="G273" s="101">
        <f t="shared" si="26"/>
        <v>3075</v>
      </c>
      <c r="H273" s="101">
        <f t="shared" si="27"/>
        <v>205</v>
      </c>
    </row>
    <row r="274" spans="1:8" ht="21" x14ac:dyDescent="0.4">
      <c r="A274" s="109" t="s">
        <v>25</v>
      </c>
      <c r="B274" s="110">
        <v>4.5999999999999996</v>
      </c>
      <c r="C274" s="109">
        <v>45177</v>
      </c>
      <c r="D274" s="98">
        <v>2023</v>
      </c>
      <c r="E274" s="102">
        <f t="shared" si="24"/>
        <v>1116.8600000000004</v>
      </c>
      <c r="F274" s="100">
        <f t="shared" si="25"/>
        <v>1112.2600000000004</v>
      </c>
      <c r="G274" s="101">
        <f t="shared" si="26"/>
        <v>3090</v>
      </c>
      <c r="H274" s="101">
        <f t="shared" si="27"/>
        <v>206</v>
      </c>
    </row>
    <row r="275" spans="1:8" ht="21" x14ac:dyDescent="0.4">
      <c r="A275" s="109" t="s">
        <v>25</v>
      </c>
      <c r="B275" s="110">
        <v>9</v>
      </c>
      <c r="C275" s="109">
        <v>45178</v>
      </c>
      <c r="D275" s="98">
        <v>2023</v>
      </c>
      <c r="E275" s="102">
        <f t="shared" si="24"/>
        <v>1127.2600000000004</v>
      </c>
      <c r="F275" s="100">
        <f t="shared" si="25"/>
        <v>1118.2600000000004</v>
      </c>
      <c r="G275" s="101">
        <f t="shared" si="26"/>
        <v>3105</v>
      </c>
      <c r="H275" s="101">
        <f t="shared" si="27"/>
        <v>207</v>
      </c>
    </row>
    <row r="276" spans="1:8" ht="21" x14ac:dyDescent="0.4">
      <c r="A276" s="109" t="s">
        <v>112</v>
      </c>
      <c r="B276" s="110">
        <v>0</v>
      </c>
      <c r="C276" s="109">
        <v>45179</v>
      </c>
      <c r="D276" s="98">
        <v>2023</v>
      </c>
      <c r="E276" s="102">
        <f t="shared" si="24"/>
        <v>1133.2600000000004</v>
      </c>
      <c r="F276" s="100">
        <f t="shared" si="25"/>
        <v>1133.2600000000004</v>
      </c>
      <c r="G276" s="101">
        <f t="shared" si="26"/>
        <v>3120</v>
      </c>
      <c r="H276" s="101">
        <f t="shared" si="27"/>
        <v>208</v>
      </c>
    </row>
    <row r="277" spans="1:8" ht="21" x14ac:dyDescent="0.4">
      <c r="A277" s="109" t="s">
        <v>112</v>
      </c>
      <c r="B277" s="110">
        <v>0</v>
      </c>
      <c r="C277" s="109">
        <v>45180</v>
      </c>
      <c r="D277" s="98">
        <v>2023</v>
      </c>
      <c r="E277" s="102">
        <f t="shared" si="24"/>
        <v>1148.2600000000004</v>
      </c>
      <c r="F277" s="100">
        <f t="shared" si="25"/>
        <v>1148.2600000000004</v>
      </c>
      <c r="G277" s="101">
        <f t="shared" si="26"/>
        <v>3135</v>
      </c>
      <c r="H277" s="101">
        <f t="shared" si="27"/>
        <v>209</v>
      </c>
    </row>
    <row r="278" spans="1:8" ht="21" x14ac:dyDescent="0.4">
      <c r="A278" s="109" t="s">
        <v>25</v>
      </c>
      <c r="B278" s="110">
        <v>9</v>
      </c>
      <c r="C278" s="109">
        <v>45181</v>
      </c>
      <c r="D278" s="98">
        <v>2023</v>
      </c>
      <c r="E278" s="102">
        <f t="shared" si="24"/>
        <v>1163.2600000000004</v>
      </c>
      <c r="F278" s="100">
        <f t="shared" si="25"/>
        <v>1154.2600000000004</v>
      </c>
      <c r="G278" s="101">
        <f t="shared" si="26"/>
        <v>3150</v>
      </c>
      <c r="H278" s="101">
        <f t="shared" si="27"/>
        <v>210</v>
      </c>
    </row>
    <row r="279" spans="1:8" ht="21" x14ac:dyDescent="0.4">
      <c r="A279" s="109" t="s">
        <v>112</v>
      </c>
      <c r="B279" s="110">
        <v>0</v>
      </c>
      <c r="C279" s="109">
        <v>45182</v>
      </c>
      <c r="D279" s="98">
        <v>2023</v>
      </c>
      <c r="E279" s="102">
        <f t="shared" si="24"/>
        <v>1169.2600000000004</v>
      </c>
      <c r="F279" s="100">
        <f t="shared" si="25"/>
        <v>1169.2600000000004</v>
      </c>
      <c r="G279" s="101">
        <f t="shared" si="26"/>
        <v>3165</v>
      </c>
      <c r="H279" s="101">
        <f t="shared" si="27"/>
        <v>211</v>
      </c>
    </row>
    <row r="280" spans="1:8" ht="21" x14ac:dyDescent="0.4">
      <c r="A280" s="109" t="s">
        <v>25</v>
      </c>
      <c r="B280" s="110">
        <v>21.6</v>
      </c>
      <c r="C280" s="109">
        <v>45183</v>
      </c>
      <c r="D280" s="98">
        <v>2023</v>
      </c>
      <c r="E280" s="102">
        <f t="shared" si="24"/>
        <v>1184.2600000000004</v>
      </c>
      <c r="F280" s="100">
        <f t="shared" si="25"/>
        <v>1162.6600000000005</v>
      </c>
      <c r="G280" s="101">
        <f t="shared" si="26"/>
        <v>3180</v>
      </c>
      <c r="H280" s="101">
        <f t="shared" si="27"/>
        <v>212</v>
      </c>
    </row>
    <row r="281" spans="1:8" ht="21" x14ac:dyDescent="0.4">
      <c r="A281" s="109" t="s">
        <v>22</v>
      </c>
      <c r="B281" s="110">
        <v>57.1</v>
      </c>
      <c r="C281" s="109">
        <v>45184</v>
      </c>
      <c r="D281" s="98">
        <v>2023</v>
      </c>
      <c r="E281" s="102">
        <f t="shared" si="24"/>
        <v>1177.6600000000005</v>
      </c>
      <c r="F281" s="100">
        <f t="shared" si="25"/>
        <v>1120.5600000000006</v>
      </c>
      <c r="G281" s="101">
        <f t="shared" si="26"/>
        <v>3195</v>
      </c>
      <c r="H281" s="101">
        <f t="shared" si="27"/>
        <v>213</v>
      </c>
    </row>
    <row r="282" spans="1:8" ht="21" x14ac:dyDescent="0.4">
      <c r="A282" s="109" t="s">
        <v>25</v>
      </c>
      <c r="B282" s="110">
        <v>2.15</v>
      </c>
      <c r="C282" s="109">
        <v>45185</v>
      </c>
      <c r="D282" s="98">
        <v>2023</v>
      </c>
      <c r="E282" s="102">
        <f t="shared" si="24"/>
        <v>1135.5600000000006</v>
      </c>
      <c r="F282" s="100">
        <f t="shared" si="25"/>
        <v>1133.4100000000005</v>
      </c>
      <c r="G282" s="101">
        <f t="shared" si="26"/>
        <v>3210</v>
      </c>
      <c r="H282" s="101">
        <f t="shared" si="27"/>
        <v>214</v>
      </c>
    </row>
    <row r="283" spans="1:8" ht="21" x14ac:dyDescent="0.4">
      <c r="A283" s="109" t="s">
        <v>22</v>
      </c>
      <c r="B283" s="110">
        <v>31.2</v>
      </c>
      <c r="C283" s="109">
        <v>45185</v>
      </c>
      <c r="D283" s="98">
        <v>2023</v>
      </c>
      <c r="E283" s="102">
        <f t="shared" si="24"/>
        <v>1133.4100000000005</v>
      </c>
      <c r="F283" s="100">
        <f t="shared" si="25"/>
        <v>1102.2100000000005</v>
      </c>
      <c r="G283" s="101">
        <f t="shared" si="26"/>
        <v>3210</v>
      </c>
      <c r="H283" s="101">
        <f t="shared" si="27"/>
        <v>214</v>
      </c>
    </row>
    <row r="284" spans="1:8" ht="21" x14ac:dyDescent="0.4">
      <c r="A284" s="109" t="s">
        <v>25</v>
      </c>
      <c r="B284" s="110">
        <v>4.5</v>
      </c>
      <c r="C284" s="109">
        <v>45186</v>
      </c>
      <c r="D284" s="98">
        <v>2023</v>
      </c>
      <c r="E284" s="102">
        <f t="shared" si="24"/>
        <v>1117.2100000000005</v>
      </c>
      <c r="F284" s="100">
        <f t="shared" si="25"/>
        <v>1112.7100000000005</v>
      </c>
      <c r="G284" s="101">
        <f t="shared" si="26"/>
        <v>3225</v>
      </c>
      <c r="H284" s="101">
        <f t="shared" si="27"/>
        <v>215</v>
      </c>
    </row>
    <row r="285" spans="1:8" ht="21" x14ac:dyDescent="0.4">
      <c r="A285" s="109" t="s">
        <v>25</v>
      </c>
      <c r="B285" s="110">
        <v>15.35</v>
      </c>
      <c r="C285" s="109">
        <v>45186</v>
      </c>
      <c r="D285" s="98">
        <v>2023</v>
      </c>
      <c r="E285" s="102">
        <f t="shared" si="24"/>
        <v>1112.7100000000005</v>
      </c>
      <c r="F285" s="100">
        <f t="shared" si="25"/>
        <v>1097.3600000000006</v>
      </c>
      <c r="G285" s="101">
        <f t="shared" si="26"/>
        <v>3225</v>
      </c>
      <c r="H285" s="101">
        <f t="shared" si="27"/>
        <v>215</v>
      </c>
    </row>
    <row r="286" spans="1:8" ht="21" x14ac:dyDescent="0.4">
      <c r="A286" s="109" t="s">
        <v>25</v>
      </c>
      <c r="B286" s="110">
        <v>3</v>
      </c>
      <c r="C286" s="109">
        <v>45187</v>
      </c>
      <c r="D286" s="98">
        <v>2023</v>
      </c>
      <c r="E286" s="102">
        <f t="shared" si="24"/>
        <v>1112.3600000000006</v>
      </c>
      <c r="F286" s="100">
        <f t="shared" si="25"/>
        <v>1109.3600000000006</v>
      </c>
      <c r="G286" s="101">
        <f t="shared" si="26"/>
        <v>3240</v>
      </c>
      <c r="H286" s="101">
        <f t="shared" si="27"/>
        <v>216</v>
      </c>
    </row>
    <row r="287" spans="1:8" ht="21" x14ac:dyDescent="0.4">
      <c r="A287" s="109" t="s">
        <v>112</v>
      </c>
      <c r="B287" s="110">
        <v>0</v>
      </c>
      <c r="C287" s="109">
        <v>45188</v>
      </c>
      <c r="D287" s="98">
        <v>2023</v>
      </c>
      <c r="E287" s="102">
        <f t="shared" si="24"/>
        <v>1124.3600000000006</v>
      </c>
      <c r="F287" s="100">
        <f t="shared" si="25"/>
        <v>1124.3600000000006</v>
      </c>
      <c r="G287" s="101">
        <f t="shared" si="26"/>
        <v>3255</v>
      </c>
      <c r="H287" s="101">
        <f t="shared" si="27"/>
        <v>217</v>
      </c>
    </row>
    <row r="288" spans="1:8" ht="21" x14ac:dyDescent="0.4">
      <c r="A288" s="109" t="s">
        <v>25</v>
      </c>
      <c r="B288" s="110">
        <v>2.15</v>
      </c>
      <c r="C288" s="109">
        <v>45189</v>
      </c>
      <c r="D288" s="98">
        <v>2023</v>
      </c>
      <c r="E288" s="102">
        <f t="shared" si="24"/>
        <v>1139.3600000000006</v>
      </c>
      <c r="F288" s="100">
        <f t="shared" si="25"/>
        <v>1137.2100000000005</v>
      </c>
      <c r="G288" s="101">
        <f t="shared" si="26"/>
        <v>3270</v>
      </c>
      <c r="H288" s="101">
        <f t="shared" si="27"/>
        <v>218</v>
      </c>
    </row>
    <row r="289" spans="1:8" ht="21" x14ac:dyDescent="0.4">
      <c r="A289" s="109" t="s">
        <v>25</v>
      </c>
      <c r="B289" s="110">
        <v>5.5</v>
      </c>
      <c r="C289" s="109">
        <v>45189</v>
      </c>
      <c r="D289" s="98">
        <v>2023</v>
      </c>
      <c r="E289" s="102">
        <f t="shared" si="24"/>
        <v>1137.2100000000005</v>
      </c>
      <c r="F289" s="100">
        <f t="shared" si="25"/>
        <v>1131.7100000000005</v>
      </c>
      <c r="G289" s="101">
        <f t="shared" si="26"/>
        <v>3270</v>
      </c>
      <c r="H289" s="101">
        <f t="shared" si="27"/>
        <v>218</v>
      </c>
    </row>
    <row r="290" spans="1:8" ht="21" x14ac:dyDescent="0.4">
      <c r="A290" s="109" t="s">
        <v>25</v>
      </c>
      <c r="B290" s="110">
        <v>33.799999999999997</v>
      </c>
      <c r="C290" s="109">
        <v>45190</v>
      </c>
      <c r="D290" s="98">
        <v>2023</v>
      </c>
      <c r="E290" s="102">
        <f t="shared" si="24"/>
        <v>1146.7100000000005</v>
      </c>
      <c r="F290" s="100">
        <f t="shared" si="25"/>
        <v>1112.9100000000005</v>
      </c>
      <c r="G290" s="101">
        <f t="shared" si="26"/>
        <v>3285</v>
      </c>
      <c r="H290" s="101">
        <f t="shared" si="27"/>
        <v>219</v>
      </c>
    </row>
    <row r="291" spans="1:8" ht="21" x14ac:dyDescent="0.4">
      <c r="A291" s="109" t="s">
        <v>22</v>
      </c>
      <c r="B291" s="110">
        <v>4.3499999999999996</v>
      </c>
      <c r="C291" s="109">
        <v>45191</v>
      </c>
      <c r="D291" s="98">
        <v>2023</v>
      </c>
      <c r="E291" s="102">
        <f t="shared" si="24"/>
        <v>1127.9100000000005</v>
      </c>
      <c r="F291" s="100">
        <f t="shared" si="25"/>
        <v>1123.5600000000006</v>
      </c>
      <c r="G291" s="101">
        <f t="shared" si="26"/>
        <v>3300</v>
      </c>
      <c r="H291" s="101">
        <f t="shared" si="27"/>
        <v>220</v>
      </c>
    </row>
    <row r="292" spans="1:8" ht="21" x14ac:dyDescent="0.4">
      <c r="A292" s="109" t="s">
        <v>112</v>
      </c>
      <c r="B292" s="110">
        <v>0</v>
      </c>
      <c r="C292" s="109">
        <v>45192</v>
      </c>
      <c r="D292" s="98">
        <v>2023</v>
      </c>
      <c r="E292" s="102">
        <f t="shared" si="24"/>
        <v>1138.5600000000006</v>
      </c>
      <c r="F292" s="100">
        <f t="shared" si="25"/>
        <v>1138.5600000000006</v>
      </c>
      <c r="G292" s="101">
        <f t="shared" si="26"/>
        <v>3315</v>
      </c>
      <c r="H292" s="101">
        <f t="shared" si="27"/>
        <v>221</v>
      </c>
    </row>
    <row r="293" spans="1:8" ht="21" x14ac:dyDescent="0.4">
      <c r="A293" s="109" t="s">
        <v>25</v>
      </c>
      <c r="B293" s="110">
        <v>4.8</v>
      </c>
      <c r="C293" s="109">
        <v>45193</v>
      </c>
      <c r="D293" s="98">
        <v>2023</v>
      </c>
      <c r="E293" s="102">
        <f t="shared" si="24"/>
        <v>1153.5600000000006</v>
      </c>
      <c r="F293" s="100">
        <f t="shared" si="25"/>
        <v>1148.7600000000007</v>
      </c>
      <c r="G293" s="101">
        <f t="shared" si="26"/>
        <v>3330</v>
      </c>
      <c r="H293" s="101">
        <f t="shared" si="27"/>
        <v>222</v>
      </c>
    </row>
    <row r="294" spans="1:8" ht="21" x14ac:dyDescent="0.4">
      <c r="A294" s="109" t="s">
        <v>22</v>
      </c>
      <c r="B294" s="110">
        <v>61</v>
      </c>
      <c r="C294" s="109">
        <v>45194</v>
      </c>
      <c r="D294" s="98">
        <v>2023</v>
      </c>
      <c r="E294" s="102">
        <f t="shared" si="24"/>
        <v>1163.7600000000007</v>
      </c>
      <c r="F294" s="100">
        <f t="shared" si="25"/>
        <v>1102.7600000000007</v>
      </c>
      <c r="G294" s="101">
        <f t="shared" si="26"/>
        <v>3345</v>
      </c>
      <c r="H294" s="101">
        <f t="shared" si="27"/>
        <v>223</v>
      </c>
    </row>
    <row r="295" spans="1:8" ht="21" x14ac:dyDescent="0.4">
      <c r="A295" s="109" t="s">
        <v>25</v>
      </c>
      <c r="B295" s="110">
        <v>8.5</v>
      </c>
      <c r="C295" s="109">
        <v>45195</v>
      </c>
      <c r="D295" s="98">
        <v>2023</v>
      </c>
      <c r="E295" s="102">
        <f t="shared" si="24"/>
        <v>1117.7600000000007</v>
      </c>
      <c r="F295" s="100">
        <f t="shared" si="25"/>
        <v>1109.2600000000007</v>
      </c>
      <c r="G295" s="101">
        <f t="shared" si="26"/>
        <v>3360</v>
      </c>
      <c r="H295" s="101">
        <f t="shared" si="27"/>
        <v>224</v>
      </c>
    </row>
    <row r="296" spans="1:8" ht="21" x14ac:dyDescent="0.4">
      <c r="A296" s="109" t="s">
        <v>25</v>
      </c>
      <c r="B296" s="110">
        <v>5.07</v>
      </c>
      <c r="C296" s="109">
        <v>45196</v>
      </c>
      <c r="D296" s="98">
        <v>2023</v>
      </c>
      <c r="E296" s="102">
        <f t="shared" si="24"/>
        <v>1124.2600000000007</v>
      </c>
      <c r="F296" s="100">
        <f t="shared" si="25"/>
        <v>1119.1900000000007</v>
      </c>
      <c r="G296" s="101">
        <f t="shared" si="26"/>
        <v>3375</v>
      </c>
      <c r="H296" s="101">
        <f t="shared" si="27"/>
        <v>225</v>
      </c>
    </row>
    <row r="297" spans="1:8" ht="21" x14ac:dyDescent="0.4">
      <c r="A297" s="109" t="s">
        <v>112</v>
      </c>
      <c r="B297" s="110">
        <v>0</v>
      </c>
      <c r="C297" s="109">
        <v>45197</v>
      </c>
      <c r="D297" s="98">
        <v>2023</v>
      </c>
      <c r="E297" s="102">
        <f t="shared" si="24"/>
        <v>1134.1900000000007</v>
      </c>
      <c r="F297" s="100">
        <f t="shared" si="25"/>
        <v>1134.1900000000007</v>
      </c>
      <c r="G297" s="101">
        <f t="shared" si="26"/>
        <v>3390</v>
      </c>
      <c r="H297" s="101">
        <f t="shared" si="27"/>
        <v>226</v>
      </c>
    </row>
    <row r="298" spans="1:8" ht="21" x14ac:dyDescent="0.4">
      <c r="A298" s="109" t="s">
        <v>25</v>
      </c>
      <c r="B298" s="110">
        <v>5.07</v>
      </c>
      <c r="C298" s="109">
        <v>45198</v>
      </c>
      <c r="D298" s="98">
        <v>2023</v>
      </c>
      <c r="E298" s="102">
        <f t="shared" si="24"/>
        <v>1149.1900000000007</v>
      </c>
      <c r="F298" s="100">
        <f t="shared" si="25"/>
        <v>1144.1200000000008</v>
      </c>
      <c r="G298" s="101">
        <f t="shared" si="26"/>
        <v>3405</v>
      </c>
      <c r="H298" s="101">
        <f t="shared" si="27"/>
        <v>227</v>
      </c>
    </row>
    <row r="299" spans="1:8" ht="21" x14ac:dyDescent="0.4">
      <c r="A299" s="109" t="s">
        <v>112</v>
      </c>
      <c r="B299" s="110">
        <v>0</v>
      </c>
      <c r="C299" s="109">
        <v>45199</v>
      </c>
      <c r="D299" s="98">
        <v>2023</v>
      </c>
      <c r="E299" s="102">
        <f t="shared" si="24"/>
        <v>1159.1200000000008</v>
      </c>
      <c r="F299" s="100">
        <f t="shared" si="25"/>
        <v>1159.1200000000008</v>
      </c>
      <c r="G299" s="101">
        <f t="shared" si="26"/>
        <v>3420</v>
      </c>
      <c r="H299" s="101">
        <f t="shared" si="27"/>
        <v>228</v>
      </c>
    </row>
    <row r="300" spans="1:8" ht="21" x14ac:dyDescent="0.4">
      <c r="A300" s="109" t="s">
        <v>25</v>
      </c>
      <c r="B300" s="110">
        <v>1.5</v>
      </c>
      <c r="C300" s="109">
        <v>45200</v>
      </c>
      <c r="D300" s="98">
        <v>2023</v>
      </c>
      <c r="E300" s="102">
        <f t="shared" si="24"/>
        <v>1174.1200000000008</v>
      </c>
      <c r="F300" s="100">
        <f t="shared" si="25"/>
        <v>1172.6200000000008</v>
      </c>
      <c r="G300" s="101">
        <f t="shared" si="26"/>
        <v>3435</v>
      </c>
      <c r="H300" s="101">
        <f t="shared" si="27"/>
        <v>229</v>
      </c>
    </row>
    <row r="301" spans="1:8" ht="21" x14ac:dyDescent="0.4">
      <c r="A301" s="109" t="s">
        <v>25</v>
      </c>
      <c r="B301" s="110">
        <v>5.07</v>
      </c>
      <c r="C301" s="109">
        <v>45200</v>
      </c>
      <c r="D301" s="98">
        <v>2023</v>
      </c>
      <c r="E301" s="102">
        <f t="shared" si="24"/>
        <v>1172.6200000000008</v>
      </c>
      <c r="F301" s="100">
        <f t="shared" si="25"/>
        <v>1167.5500000000009</v>
      </c>
      <c r="G301" s="101">
        <f t="shared" si="26"/>
        <v>3435</v>
      </c>
      <c r="H301" s="101">
        <f t="shared" si="27"/>
        <v>229</v>
      </c>
    </row>
    <row r="302" spans="1:8" ht="21" x14ac:dyDescent="0.4">
      <c r="A302" s="109" t="s">
        <v>25</v>
      </c>
      <c r="B302" s="110">
        <v>14</v>
      </c>
      <c r="C302" s="109">
        <v>45201</v>
      </c>
      <c r="D302" s="98">
        <v>2023</v>
      </c>
      <c r="E302" s="102">
        <f t="shared" si="24"/>
        <v>1182.5500000000009</v>
      </c>
      <c r="F302" s="100">
        <f t="shared" si="25"/>
        <v>1168.5500000000009</v>
      </c>
      <c r="G302" s="101">
        <f t="shared" si="26"/>
        <v>3450</v>
      </c>
      <c r="H302" s="101">
        <f t="shared" si="27"/>
        <v>230</v>
      </c>
    </row>
    <row r="303" spans="1:8" ht="21" x14ac:dyDescent="0.4">
      <c r="A303" s="109" t="s">
        <v>25</v>
      </c>
      <c r="B303" s="110">
        <v>4</v>
      </c>
      <c r="C303" s="109">
        <v>45202</v>
      </c>
      <c r="D303" s="98">
        <v>2023</v>
      </c>
      <c r="E303" s="102">
        <f t="shared" si="24"/>
        <v>1183.5500000000009</v>
      </c>
      <c r="F303" s="100">
        <f t="shared" si="25"/>
        <v>1179.5500000000009</v>
      </c>
      <c r="G303" s="101">
        <f t="shared" si="26"/>
        <v>3465</v>
      </c>
      <c r="H303" s="101">
        <f t="shared" si="27"/>
        <v>231</v>
      </c>
    </row>
    <row r="304" spans="1:8" ht="21" x14ac:dyDescent="0.4">
      <c r="A304" s="109" t="s">
        <v>22</v>
      </c>
      <c r="B304" s="110">
        <v>49.2</v>
      </c>
      <c r="C304" s="109">
        <v>45202</v>
      </c>
      <c r="D304" s="98">
        <v>2023</v>
      </c>
      <c r="E304" s="102">
        <f t="shared" si="24"/>
        <v>1179.5500000000009</v>
      </c>
      <c r="F304" s="100">
        <f t="shared" si="25"/>
        <v>1130.3500000000008</v>
      </c>
      <c r="G304" s="101">
        <f t="shared" si="26"/>
        <v>3465</v>
      </c>
      <c r="H304" s="101">
        <f t="shared" si="27"/>
        <v>231</v>
      </c>
    </row>
    <row r="305" spans="1:8" ht="21" x14ac:dyDescent="0.4">
      <c r="A305" s="109" t="s">
        <v>112</v>
      </c>
      <c r="B305" s="110">
        <v>0</v>
      </c>
      <c r="C305" s="109">
        <v>45203</v>
      </c>
      <c r="D305" s="98">
        <v>2023</v>
      </c>
      <c r="E305" s="102">
        <f t="shared" si="24"/>
        <v>1145.3500000000008</v>
      </c>
      <c r="F305" s="100">
        <f t="shared" si="25"/>
        <v>1145.3500000000008</v>
      </c>
      <c r="G305" s="101">
        <f t="shared" si="26"/>
        <v>3480</v>
      </c>
      <c r="H305" s="101">
        <f t="shared" si="27"/>
        <v>232</v>
      </c>
    </row>
    <row r="306" spans="1:8" ht="21" x14ac:dyDescent="0.4">
      <c r="A306" s="109" t="s">
        <v>25</v>
      </c>
      <c r="B306" s="110">
        <v>23.5</v>
      </c>
      <c r="C306" s="109">
        <v>45204</v>
      </c>
      <c r="D306" s="98">
        <v>2023</v>
      </c>
      <c r="E306" s="102">
        <f t="shared" si="24"/>
        <v>1160.3500000000008</v>
      </c>
      <c r="F306" s="100">
        <f t="shared" si="25"/>
        <v>1136.8500000000008</v>
      </c>
      <c r="G306" s="101">
        <f t="shared" si="26"/>
        <v>3495</v>
      </c>
      <c r="H306" s="101">
        <f t="shared" si="27"/>
        <v>233</v>
      </c>
    </row>
    <row r="307" spans="1:8" ht="21" x14ac:dyDescent="0.4">
      <c r="A307" s="109" t="s">
        <v>112</v>
      </c>
      <c r="B307" s="110">
        <v>0</v>
      </c>
      <c r="C307" s="109">
        <v>45205</v>
      </c>
      <c r="D307" s="98">
        <v>2023</v>
      </c>
      <c r="E307" s="102">
        <f t="shared" si="24"/>
        <v>1151.8500000000008</v>
      </c>
      <c r="F307" s="100">
        <f t="shared" si="25"/>
        <v>1151.8500000000008</v>
      </c>
      <c r="G307" s="101">
        <f t="shared" si="26"/>
        <v>3510</v>
      </c>
      <c r="H307" s="101">
        <f t="shared" si="27"/>
        <v>234</v>
      </c>
    </row>
    <row r="308" spans="1:8" ht="21" x14ac:dyDescent="0.4">
      <c r="A308" s="109" t="s">
        <v>25</v>
      </c>
      <c r="B308" s="110">
        <v>45.5</v>
      </c>
      <c r="C308" s="109">
        <v>45206</v>
      </c>
      <c r="D308" s="98">
        <v>2023</v>
      </c>
      <c r="E308" s="102">
        <f t="shared" si="24"/>
        <v>1166.8500000000008</v>
      </c>
      <c r="F308" s="100">
        <f t="shared" si="25"/>
        <v>1121.3500000000008</v>
      </c>
      <c r="G308" s="101">
        <f t="shared" si="26"/>
        <v>3525</v>
      </c>
      <c r="H308" s="101">
        <f t="shared" si="27"/>
        <v>235</v>
      </c>
    </row>
    <row r="309" spans="1:8" ht="21" x14ac:dyDescent="0.4">
      <c r="A309" s="109" t="s">
        <v>25</v>
      </c>
      <c r="B309" s="110">
        <v>4</v>
      </c>
      <c r="C309" s="109">
        <v>45207</v>
      </c>
      <c r="D309" s="98">
        <v>2023</v>
      </c>
      <c r="E309" s="102">
        <f t="shared" si="24"/>
        <v>1136.3500000000008</v>
      </c>
      <c r="F309" s="100">
        <f t="shared" si="25"/>
        <v>1132.3500000000008</v>
      </c>
      <c r="G309" s="101">
        <f t="shared" si="26"/>
        <v>3540</v>
      </c>
      <c r="H309" s="101">
        <f t="shared" si="27"/>
        <v>236</v>
      </c>
    </row>
    <row r="310" spans="1:8" ht="21" x14ac:dyDescent="0.4">
      <c r="A310" s="109" t="s">
        <v>25</v>
      </c>
      <c r="B310" s="110">
        <v>7.2</v>
      </c>
      <c r="C310" s="109">
        <v>45208</v>
      </c>
      <c r="D310" s="98">
        <v>2023</v>
      </c>
      <c r="E310" s="102">
        <f t="shared" si="24"/>
        <v>1147.3500000000008</v>
      </c>
      <c r="F310" s="100">
        <f t="shared" si="25"/>
        <v>1140.1500000000008</v>
      </c>
      <c r="G310" s="101">
        <f t="shared" si="26"/>
        <v>3555</v>
      </c>
      <c r="H310" s="101">
        <f t="shared" si="27"/>
        <v>237</v>
      </c>
    </row>
    <row r="311" spans="1:8" ht="21" x14ac:dyDescent="0.4">
      <c r="A311" s="109" t="s">
        <v>22</v>
      </c>
      <c r="B311" s="110">
        <v>40</v>
      </c>
      <c r="C311" s="109">
        <v>45209</v>
      </c>
      <c r="D311" s="98">
        <v>2023</v>
      </c>
      <c r="E311" s="102">
        <f t="shared" si="24"/>
        <v>1155.1500000000008</v>
      </c>
      <c r="F311" s="100">
        <f t="shared" si="25"/>
        <v>1115.1500000000008</v>
      </c>
      <c r="G311" s="101">
        <f t="shared" si="26"/>
        <v>3570</v>
      </c>
      <c r="H311" s="101">
        <f t="shared" si="27"/>
        <v>238</v>
      </c>
    </row>
    <row r="312" spans="1:8" ht="21" x14ac:dyDescent="0.4">
      <c r="A312" s="109" t="s">
        <v>25</v>
      </c>
      <c r="B312" s="110">
        <v>5</v>
      </c>
      <c r="C312" s="109">
        <v>45210</v>
      </c>
      <c r="D312" s="98">
        <v>2023</v>
      </c>
      <c r="E312" s="102">
        <f t="shared" si="24"/>
        <v>1130.1500000000008</v>
      </c>
      <c r="F312" s="100">
        <f t="shared" si="25"/>
        <v>1125.1500000000008</v>
      </c>
      <c r="G312" s="101">
        <f t="shared" si="26"/>
        <v>3585</v>
      </c>
      <c r="H312" s="101">
        <f t="shared" si="27"/>
        <v>239</v>
      </c>
    </row>
    <row r="313" spans="1:8" ht="21" x14ac:dyDescent="0.4">
      <c r="A313" s="109" t="s">
        <v>112</v>
      </c>
      <c r="B313" s="110">
        <v>0</v>
      </c>
      <c r="C313" s="109">
        <v>45211</v>
      </c>
      <c r="D313" s="98">
        <v>2023</v>
      </c>
      <c r="E313" s="102">
        <f t="shared" si="24"/>
        <v>1140.1500000000008</v>
      </c>
      <c r="F313" s="100">
        <f t="shared" si="25"/>
        <v>1140.1500000000008</v>
      </c>
      <c r="G313" s="101">
        <f t="shared" si="26"/>
        <v>3600</v>
      </c>
      <c r="H313" s="101">
        <f t="shared" si="27"/>
        <v>240</v>
      </c>
    </row>
    <row r="314" spans="1:8" ht="21" x14ac:dyDescent="0.4">
      <c r="A314" s="109" t="s">
        <v>25</v>
      </c>
      <c r="B314" s="110">
        <v>70</v>
      </c>
      <c r="C314" s="109">
        <v>45212</v>
      </c>
      <c r="D314" s="98">
        <v>2023</v>
      </c>
      <c r="E314" s="102">
        <f t="shared" si="24"/>
        <v>1155.1500000000008</v>
      </c>
      <c r="F314" s="100">
        <f t="shared" si="25"/>
        <v>1085.1500000000008</v>
      </c>
      <c r="G314" s="101">
        <f t="shared" si="26"/>
        <v>3615</v>
      </c>
      <c r="H314" s="101">
        <f t="shared" si="27"/>
        <v>241</v>
      </c>
    </row>
    <row r="315" spans="1:8" ht="21" x14ac:dyDescent="0.4">
      <c r="A315" s="109" t="s">
        <v>25</v>
      </c>
      <c r="B315" s="110">
        <v>16</v>
      </c>
      <c r="C315" s="109">
        <v>45213</v>
      </c>
      <c r="D315" s="98">
        <v>2023</v>
      </c>
      <c r="E315" s="102">
        <f t="shared" si="24"/>
        <v>1100.1500000000008</v>
      </c>
      <c r="F315" s="100">
        <f t="shared" si="25"/>
        <v>1084.1500000000008</v>
      </c>
      <c r="G315" s="101">
        <f t="shared" si="26"/>
        <v>3630</v>
      </c>
      <c r="H315" s="101">
        <f t="shared" si="27"/>
        <v>242</v>
      </c>
    </row>
    <row r="316" spans="1:8" ht="21" x14ac:dyDescent="0.4">
      <c r="A316" s="109" t="s">
        <v>25</v>
      </c>
      <c r="B316" s="110">
        <v>27.5</v>
      </c>
      <c r="C316" s="109">
        <v>45214</v>
      </c>
      <c r="D316" s="98">
        <v>2023</v>
      </c>
      <c r="E316" s="102">
        <f t="shared" si="24"/>
        <v>1099.1500000000008</v>
      </c>
      <c r="F316" s="100">
        <f t="shared" si="25"/>
        <v>1071.6500000000008</v>
      </c>
      <c r="G316" s="101">
        <f t="shared" si="26"/>
        <v>3645</v>
      </c>
      <c r="H316" s="101">
        <f t="shared" si="27"/>
        <v>243</v>
      </c>
    </row>
    <row r="317" spans="1:8" ht="21" x14ac:dyDescent="0.4">
      <c r="A317" s="109" t="s">
        <v>25</v>
      </c>
      <c r="B317" s="110">
        <v>24.8</v>
      </c>
      <c r="C317" s="109">
        <v>45215</v>
      </c>
      <c r="D317" s="98">
        <v>2023</v>
      </c>
      <c r="E317" s="102">
        <f t="shared" si="24"/>
        <v>1086.6500000000008</v>
      </c>
      <c r="F317" s="100">
        <f t="shared" si="25"/>
        <v>1061.8500000000008</v>
      </c>
      <c r="G317" s="101">
        <f t="shared" si="26"/>
        <v>3660</v>
      </c>
      <c r="H317" s="101">
        <f t="shared" si="27"/>
        <v>244</v>
      </c>
    </row>
    <row r="318" spans="1:8" ht="21" x14ac:dyDescent="0.4">
      <c r="A318" s="109" t="s">
        <v>112</v>
      </c>
      <c r="B318" s="110">
        <v>0</v>
      </c>
      <c r="C318" s="109">
        <v>45216</v>
      </c>
      <c r="D318" s="98">
        <v>2023</v>
      </c>
      <c r="E318" s="102">
        <f t="shared" si="24"/>
        <v>1076.8500000000008</v>
      </c>
      <c r="F318" s="100">
        <f t="shared" si="25"/>
        <v>1076.8500000000008</v>
      </c>
      <c r="G318" s="101">
        <f t="shared" si="26"/>
        <v>3675</v>
      </c>
      <c r="H318" s="101">
        <f t="shared" si="27"/>
        <v>245</v>
      </c>
    </row>
    <row r="319" spans="1:8" ht="21" x14ac:dyDescent="0.4">
      <c r="A319" s="109" t="s">
        <v>25</v>
      </c>
      <c r="B319" s="110">
        <v>6</v>
      </c>
      <c r="C319" s="109">
        <v>45217</v>
      </c>
      <c r="D319" s="98">
        <v>2023</v>
      </c>
      <c r="E319" s="102">
        <f t="shared" ref="E319:E382" si="28">IF(C319=C318,F318,F318+15)</f>
        <v>1091.8500000000008</v>
      </c>
      <c r="F319" s="100">
        <f t="shared" ref="F319:F382" si="29">E319-B319</f>
        <v>1085.8500000000008</v>
      </c>
      <c r="G319" s="101">
        <f t="shared" ref="G319:G382" si="30">IF(C319&lt;&gt;C318, 15+G318,G318)</f>
        <v>3690</v>
      </c>
      <c r="H319" s="101">
        <f t="shared" ref="H319:H382" si="31">G319/15</f>
        <v>246</v>
      </c>
    </row>
    <row r="320" spans="1:8" ht="21" x14ac:dyDescent="0.4">
      <c r="A320" s="109" t="s">
        <v>25</v>
      </c>
      <c r="B320" s="110">
        <v>3.2</v>
      </c>
      <c r="C320" s="109">
        <v>45218</v>
      </c>
      <c r="D320" s="98">
        <v>2023</v>
      </c>
      <c r="E320" s="102">
        <f t="shared" si="28"/>
        <v>1100.8500000000008</v>
      </c>
      <c r="F320" s="100">
        <f t="shared" si="29"/>
        <v>1097.6500000000008</v>
      </c>
      <c r="G320" s="101">
        <f t="shared" si="30"/>
        <v>3705</v>
      </c>
      <c r="H320" s="101">
        <f t="shared" si="31"/>
        <v>247</v>
      </c>
    </row>
    <row r="321" spans="1:8" ht="21" x14ac:dyDescent="0.4">
      <c r="A321" s="109" t="s">
        <v>25</v>
      </c>
      <c r="B321" s="110">
        <v>1.5</v>
      </c>
      <c r="C321" s="109">
        <v>45219</v>
      </c>
      <c r="D321" s="98">
        <v>2023</v>
      </c>
      <c r="E321" s="102">
        <f t="shared" si="28"/>
        <v>1112.6500000000008</v>
      </c>
      <c r="F321" s="100">
        <f t="shared" si="29"/>
        <v>1111.1500000000008</v>
      </c>
      <c r="G321" s="101">
        <f t="shared" si="30"/>
        <v>3720</v>
      </c>
      <c r="H321" s="101">
        <f t="shared" si="31"/>
        <v>248</v>
      </c>
    </row>
    <row r="322" spans="1:8" ht="21" x14ac:dyDescent="0.4">
      <c r="A322" s="109" t="s">
        <v>22</v>
      </c>
      <c r="B322" s="110">
        <v>85.9</v>
      </c>
      <c r="C322" s="109">
        <v>45220</v>
      </c>
      <c r="D322" s="98">
        <v>2023</v>
      </c>
      <c r="E322" s="102">
        <f t="shared" si="28"/>
        <v>1126.1500000000008</v>
      </c>
      <c r="F322" s="100">
        <f t="shared" si="29"/>
        <v>1040.2500000000007</v>
      </c>
      <c r="G322" s="101">
        <f t="shared" si="30"/>
        <v>3735</v>
      </c>
      <c r="H322" s="101">
        <f t="shared" si="31"/>
        <v>249</v>
      </c>
    </row>
    <row r="323" spans="1:8" ht="21" x14ac:dyDescent="0.4">
      <c r="A323" s="109" t="s">
        <v>25</v>
      </c>
      <c r="B323" s="110">
        <v>8</v>
      </c>
      <c r="C323" s="109">
        <v>45221</v>
      </c>
      <c r="D323" s="98">
        <v>2023</v>
      </c>
      <c r="E323" s="102">
        <f t="shared" si="28"/>
        <v>1055.2500000000007</v>
      </c>
      <c r="F323" s="100">
        <f t="shared" si="29"/>
        <v>1047.2500000000007</v>
      </c>
      <c r="G323" s="101">
        <f t="shared" si="30"/>
        <v>3750</v>
      </c>
      <c r="H323" s="101">
        <f t="shared" si="31"/>
        <v>250</v>
      </c>
    </row>
    <row r="324" spans="1:8" ht="21" x14ac:dyDescent="0.4">
      <c r="A324" s="109" t="s">
        <v>112</v>
      </c>
      <c r="B324" s="110">
        <v>0</v>
      </c>
      <c r="C324" s="109">
        <v>45222</v>
      </c>
      <c r="D324" s="98">
        <v>2023</v>
      </c>
      <c r="E324" s="102">
        <f t="shared" si="28"/>
        <v>1062.2500000000007</v>
      </c>
      <c r="F324" s="100">
        <f t="shared" si="29"/>
        <v>1062.2500000000007</v>
      </c>
      <c r="G324" s="101">
        <f t="shared" si="30"/>
        <v>3765</v>
      </c>
      <c r="H324" s="101">
        <f t="shared" si="31"/>
        <v>251</v>
      </c>
    </row>
    <row r="325" spans="1:8" ht="21" x14ac:dyDescent="0.4">
      <c r="A325" s="109" t="s">
        <v>25</v>
      </c>
      <c r="B325" s="110">
        <v>4.45</v>
      </c>
      <c r="C325" s="109">
        <v>45223</v>
      </c>
      <c r="D325" s="98">
        <v>2023</v>
      </c>
      <c r="E325" s="102">
        <f t="shared" si="28"/>
        <v>1077.2500000000007</v>
      </c>
      <c r="F325" s="100">
        <f t="shared" si="29"/>
        <v>1072.8000000000006</v>
      </c>
      <c r="G325" s="101">
        <f t="shared" si="30"/>
        <v>3780</v>
      </c>
      <c r="H325" s="101">
        <f t="shared" si="31"/>
        <v>252</v>
      </c>
    </row>
    <row r="326" spans="1:8" ht="21" x14ac:dyDescent="0.4">
      <c r="A326" s="109" t="s">
        <v>112</v>
      </c>
      <c r="B326" s="110">
        <v>0</v>
      </c>
      <c r="C326" s="109">
        <v>45224</v>
      </c>
      <c r="D326" s="98">
        <v>2023</v>
      </c>
      <c r="E326" s="102">
        <f t="shared" si="28"/>
        <v>1087.8000000000006</v>
      </c>
      <c r="F326" s="100">
        <f t="shared" si="29"/>
        <v>1087.8000000000006</v>
      </c>
      <c r="G326" s="101">
        <f t="shared" si="30"/>
        <v>3795</v>
      </c>
      <c r="H326" s="101">
        <f t="shared" si="31"/>
        <v>253</v>
      </c>
    </row>
    <row r="327" spans="1:8" ht="21" x14ac:dyDescent="0.4">
      <c r="A327" s="109" t="s">
        <v>25</v>
      </c>
      <c r="B327" s="110">
        <v>2.65</v>
      </c>
      <c r="C327" s="109">
        <v>45225</v>
      </c>
      <c r="D327" s="98">
        <v>2023</v>
      </c>
      <c r="E327" s="102">
        <f t="shared" si="28"/>
        <v>1102.8000000000006</v>
      </c>
      <c r="F327" s="100">
        <f t="shared" si="29"/>
        <v>1100.1500000000005</v>
      </c>
      <c r="G327" s="101">
        <f t="shared" si="30"/>
        <v>3810</v>
      </c>
      <c r="H327" s="101">
        <f t="shared" si="31"/>
        <v>254</v>
      </c>
    </row>
    <row r="328" spans="1:8" ht="21" x14ac:dyDescent="0.4">
      <c r="A328" s="109" t="s">
        <v>112</v>
      </c>
      <c r="B328" s="110">
        <v>0</v>
      </c>
      <c r="C328" s="109">
        <v>45226</v>
      </c>
      <c r="D328" s="98">
        <v>2023</v>
      </c>
      <c r="E328" s="102">
        <f t="shared" si="28"/>
        <v>1115.1500000000005</v>
      </c>
      <c r="F328" s="100">
        <f t="shared" si="29"/>
        <v>1115.1500000000005</v>
      </c>
      <c r="G328" s="101">
        <f t="shared" si="30"/>
        <v>3825</v>
      </c>
      <c r="H328" s="101">
        <f t="shared" si="31"/>
        <v>255</v>
      </c>
    </row>
    <row r="329" spans="1:8" ht="21" x14ac:dyDescent="0.4">
      <c r="A329" s="109" t="s">
        <v>112</v>
      </c>
      <c r="B329" s="110">
        <v>0</v>
      </c>
      <c r="C329" s="109">
        <v>45227</v>
      </c>
      <c r="D329" s="98">
        <v>2023</v>
      </c>
      <c r="E329" s="102">
        <f t="shared" si="28"/>
        <v>1130.1500000000005</v>
      </c>
      <c r="F329" s="100">
        <f t="shared" si="29"/>
        <v>1130.1500000000005</v>
      </c>
      <c r="G329" s="101">
        <f t="shared" si="30"/>
        <v>3840</v>
      </c>
      <c r="H329" s="101">
        <f t="shared" si="31"/>
        <v>256</v>
      </c>
    </row>
    <row r="330" spans="1:8" ht="21" x14ac:dyDescent="0.4">
      <c r="A330" s="109" t="s">
        <v>25</v>
      </c>
      <c r="B330" s="110">
        <v>6</v>
      </c>
      <c r="C330" s="109">
        <v>45228</v>
      </c>
      <c r="D330" s="98">
        <v>2023</v>
      </c>
      <c r="E330" s="102">
        <f t="shared" si="28"/>
        <v>1145.1500000000005</v>
      </c>
      <c r="F330" s="100">
        <f t="shared" si="29"/>
        <v>1139.1500000000005</v>
      </c>
      <c r="G330" s="101">
        <f t="shared" si="30"/>
        <v>3855</v>
      </c>
      <c r="H330" s="101">
        <f t="shared" si="31"/>
        <v>257</v>
      </c>
    </row>
    <row r="331" spans="1:8" ht="21" x14ac:dyDescent="0.4">
      <c r="A331" s="109" t="s">
        <v>25</v>
      </c>
      <c r="B331" s="110">
        <v>46</v>
      </c>
      <c r="C331" s="109">
        <v>45229</v>
      </c>
      <c r="D331" s="98">
        <v>2023</v>
      </c>
      <c r="E331" s="102">
        <f t="shared" si="28"/>
        <v>1154.1500000000005</v>
      </c>
      <c r="F331" s="100">
        <f t="shared" si="29"/>
        <v>1108.1500000000005</v>
      </c>
      <c r="G331" s="101">
        <f t="shared" si="30"/>
        <v>3870</v>
      </c>
      <c r="H331" s="101">
        <f t="shared" si="31"/>
        <v>258</v>
      </c>
    </row>
    <row r="332" spans="1:8" ht="21" x14ac:dyDescent="0.4">
      <c r="A332" s="109" t="s">
        <v>25</v>
      </c>
      <c r="B332" s="110">
        <v>28</v>
      </c>
      <c r="C332" s="109">
        <v>45230</v>
      </c>
      <c r="D332" s="98">
        <v>2023</v>
      </c>
      <c r="E332" s="102">
        <f t="shared" si="28"/>
        <v>1123.1500000000005</v>
      </c>
      <c r="F332" s="100">
        <f t="shared" si="29"/>
        <v>1095.1500000000005</v>
      </c>
      <c r="G332" s="101">
        <f t="shared" si="30"/>
        <v>3885</v>
      </c>
      <c r="H332" s="101">
        <f t="shared" si="31"/>
        <v>259</v>
      </c>
    </row>
    <row r="333" spans="1:8" ht="21" x14ac:dyDescent="0.4">
      <c r="A333" s="109" t="s">
        <v>22</v>
      </c>
      <c r="B333" s="110">
        <v>62</v>
      </c>
      <c r="C333" s="109">
        <v>45231</v>
      </c>
      <c r="D333" s="98">
        <v>2023</v>
      </c>
      <c r="E333" s="102">
        <f t="shared" si="28"/>
        <v>1110.1500000000005</v>
      </c>
      <c r="F333" s="100">
        <f t="shared" si="29"/>
        <v>1048.1500000000005</v>
      </c>
      <c r="G333" s="101">
        <f t="shared" si="30"/>
        <v>3900</v>
      </c>
      <c r="H333" s="101">
        <f t="shared" si="31"/>
        <v>260</v>
      </c>
    </row>
    <row r="334" spans="1:8" ht="21" x14ac:dyDescent="0.4">
      <c r="A334" s="109" t="s">
        <v>25</v>
      </c>
      <c r="B334" s="110">
        <v>4.5</v>
      </c>
      <c r="C334" s="109">
        <v>45231</v>
      </c>
      <c r="D334" s="98">
        <v>2023</v>
      </c>
      <c r="E334" s="102">
        <f t="shared" si="28"/>
        <v>1048.1500000000005</v>
      </c>
      <c r="F334" s="100">
        <f t="shared" si="29"/>
        <v>1043.6500000000005</v>
      </c>
      <c r="G334" s="101">
        <f t="shared" si="30"/>
        <v>3900</v>
      </c>
      <c r="H334" s="101">
        <f t="shared" si="31"/>
        <v>260</v>
      </c>
    </row>
    <row r="335" spans="1:8" ht="21" x14ac:dyDescent="0.4">
      <c r="A335" s="109" t="s">
        <v>112</v>
      </c>
      <c r="B335" s="110">
        <v>0</v>
      </c>
      <c r="C335" s="109">
        <v>45232</v>
      </c>
      <c r="D335" s="98">
        <v>2023</v>
      </c>
      <c r="E335" s="102">
        <f t="shared" si="28"/>
        <v>1058.6500000000005</v>
      </c>
      <c r="F335" s="100">
        <f t="shared" si="29"/>
        <v>1058.6500000000005</v>
      </c>
      <c r="G335" s="101">
        <f t="shared" si="30"/>
        <v>3915</v>
      </c>
      <c r="H335" s="101">
        <f t="shared" si="31"/>
        <v>261</v>
      </c>
    </row>
    <row r="336" spans="1:8" ht="21" x14ac:dyDescent="0.4">
      <c r="A336" s="109" t="s">
        <v>25</v>
      </c>
      <c r="B336" s="110">
        <v>15</v>
      </c>
      <c r="C336" s="109">
        <v>45233</v>
      </c>
      <c r="D336" s="98">
        <v>2023</v>
      </c>
      <c r="E336" s="102">
        <f t="shared" si="28"/>
        <v>1073.6500000000005</v>
      </c>
      <c r="F336" s="100">
        <f t="shared" si="29"/>
        <v>1058.6500000000005</v>
      </c>
      <c r="G336" s="101">
        <f t="shared" si="30"/>
        <v>3930</v>
      </c>
      <c r="H336" s="101">
        <f t="shared" si="31"/>
        <v>262</v>
      </c>
    </row>
    <row r="337" spans="1:8" ht="21" x14ac:dyDescent="0.4">
      <c r="A337" s="109" t="s">
        <v>112</v>
      </c>
      <c r="B337" s="110">
        <v>0</v>
      </c>
      <c r="C337" s="109">
        <v>45234</v>
      </c>
      <c r="D337" s="98">
        <v>2023</v>
      </c>
      <c r="E337" s="102">
        <f t="shared" si="28"/>
        <v>1073.6500000000005</v>
      </c>
      <c r="F337" s="100">
        <f t="shared" si="29"/>
        <v>1073.6500000000005</v>
      </c>
      <c r="G337" s="101">
        <f t="shared" si="30"/>
        <v>3945</v>
      </c>
      <c r="H337" s="101">
        <f t="shared" si="31"/>
        <v>263</v>
      </c>
    </row>
    <row r="338" spans="1:8" ht="21" x14ac:dyDescent="0.4">
      <c r="A338" s="109" t="s">
        <v>25</v>
      </c>
      <c r="B338" s="110">
        <v>2.2000000000000002</v>
      </c>
      <c r="C338" s="109">
        <v>45235</v>
      </c>
      <c r="D338" s="98">
        <v>2023</v>
      </c>
      <c r="E338" s="102">
        <f t="shared" si="28"/>
        <v>1088.6500000000005</v>
      </c>
      <c r="F338" s="100">
        <f t="shared" si="29"/>
        <v>1086.4500000000005</v>
      </c>
      <c r="G338" s="101">
        <f t="shared" si="30"/>
        <v>3960</v>
      </c>
      <c r="H338" s="101">
        <f t="shared" si="31"/>
        <v>264</v>
      </c>
    </row>
    <row r="339" spans="1:8" ht="21" x14ac:dyDescent="0.4">
      <c r="A339" s="109" t="s">
        <v>25</v>
      </c>
      <c r="B339" s="110">
        <v>30.8</v>
      </c>
      <c r="C339" s="109">
        <v>45236</v>
      </c>
      <c r="D339" s="98">
        <v>2023</v>
      </c>
      <c r="E339" s="102">
        <f t="shared" si="28"/>
        <v>1101.4500000000005</v>
      </c>
      <c r="F339" s="100">
        <f t="shared" si="29"/>
        <v>1070.6500000000005</v>
      </c>
      <c r="G339" s="101">
        <f t="shared" si="30"/>
        <v>3975</v>
      </c>
      <c r="H339" s="101">
        <f t="shared" si="31"/>
        <v>265</v>
      </c>
    </row>
    <row r="340" spans="1:8" ht="21" x14ac:dyDescent="0.4">
      <c r="A340" s="109" t="s">
        <v>25</v>
      </c>
      <c r="B340" s="110">
        <v>15</v>
      </c>
      <c r="C340" s="109">
        <v>45237</v>
      </c>
      <c r="D340" s="98">
        <v>2023</v>
      </c>
      <c r="E340" s="102">
        <f t="shared" si="28"/>
        <v>1085.6500000000005</v>
      </c>
      <c r="F340" s="100">
        <f t="shared" si="29"/>
        <v>1070.6500000000005</v>
      </c>
      <c r="G340" s="101">
        <f t="shared" si="30"/>
        <v>3990</v>
      </c>
      <c r="H340" s="101">
        <f t="shared" si="31"/>
        <v>266</v>
      </c>
    </row>
    <row r="341" spans="1:8" ht="21" x14ac:dyDescent="0.4">
      <c r="A341" s="109" t="s">
        <v>25</v>
      </c>
      <c r="B341" s="110">
        <v>25.5</v>
      </c>
      <c r="C341" s="109">
        <v>45238</v>
      </c>
      <c r="D341" s="98">
        <v>2023</v>
      </c>
      <c r="E341" s="102">
        <f t="shared" si="28"/>
        <v>1085.6500000000005</v>
      </c>
      <c r="F341" s="100">
        <f t="shared" si="29"/>
        <v>1060.1500000000005</v>
      </c>
      <c r="G341" s="101">
        <f t="shared" si="30"/>
        <v>4005</v>
      </c>
      <c r="H341" s="101">
        <f t="shared" si="31"/>
        <v>267</v>
      </c>
    </row>
    <row r="342" spans="1:8" ht="21" x14ac:dyDescent="0.4">
      <c r="A342" s="109" t="s">
        <v>112</v>
      </c>
      <c r="B342" s="110">
        <v>0</v>
      </c>
      <c r="C342" s="109">
        <v>45239</v>
      </c>
      <c r="D342" s="98">
        <v>2023</v>
      </c>
      <c r="E342" s="102">
        <f t="shared" si="28"/>
        <v>1075.1500000000005</v>
      </c>
      <c r="F342" s="100">
        <f t="shared" si="29"/>
        <v>1075.1500000000005</v>
      </c>
      <c r="G342" s="101">
        <f t="shared" si="30"/>
        <v>4020</v>
      </c>
      <c r="H342" s="101">
        <f t="shared" si="31"/>
        <v>268</v>
      </c>
    </row>
    <row r="343" spans="1:8" ht="21" x14ac:dyDescent="0.4">
      <c r="A343" s="109" t="s">
        <v>25</v>
      </c>
      <c r="B343" s="110">
        <v>35</v>
      </c>
      <c r="C343" s="109">
        <v>45240</v>
      </c>
      <c r="D343" s="98">
        <v>2023</v>
      </c>
      <c r="E343" s="102">
        <f t="shared" si="28"/>
        <v>1090.1500000000005</v>
      </c>
      <c r="F343" s="100">
        <f t="shared" si="29"/>
        <v>1055.1500000000005</v>
      </c>
      <c r="G343" s="101">
        <f t="shared" si="30"/>
        <v>4035</v>
      </c>
      <c r="H343" s="101">
        <f t="shared" si="31"/>
        <v>269</v>
      </c>
    </row>
    <row r="344" spans="1:8" ht="21" x14ac:dyDescent="0.4">
      <c r="A344" s="109" t="s">
        <v>112</v>
      </c>
      <c r="B344" s="110">
        <v>0</v>
      </c>
      <c r="C344" s="109">
        <v>45241</v>
      </c>
      <c r="D344" s="98">
        <v>2023</v>
      </c>
      <c r="E344" s="102">
        <f t="shared" si="28"/>
        <v>1070.1500000000005</v>
      </c>
      <c r="F344" s="100">
        <f t="shared" si="29"/>
        <v>1070.1500000000005</v>
      </c>
      <c r="G344" s="101">
        <f t="shared" si="30"/>
        <v>4050</v>
      </c>
      <c r="H344" s="101">
        <f t="shared" si="31"/>
        <v>270</v>
      </c>
    </row>
    <row r="345" spans="1:8" ht="21" x14ac:dyDescent="0.4">
      <c r="A345" s="109" t="s">
        <v>112</v>
      </c>
      <c r="B345" s="110">
        <v>0</v>
      </c>
      <c r="C345" s="109">
        <v>45242</v>
      </c>
      <c r="D345" s="98">
        <v>2023</v>
      </c>
      <c r="E345" s="102">
        <f t="shared" si="28"/>
        <v>1085.1500000000005</v>
      </c>
      <c r="F345" s="100">
        <f t="shared" si="29"/>
        <v>1085.1500000000005</v>
      </c>
      <c r="G345" s="101">
        <f t="shared" si="30"/>
        <v>4065</v>
      </c>
      <c r="H345" s="101">
        <f t="shared" si="31"/>
        <v>271</v>
      </c>
    </row>
    <row r="346" spans="1:8" ht="21" x14ac:dyDescent="0.4">
      <c r="A346" s="109" t="s">
        <v>112</v>
      </c>
      <c r="B346" s="110">
        <v>0</v>
      </c>
      <c r="C346" s="109">
        <v>45243</v>
      </c>
      <c r="D346" s="98">
        <v>2023</v>
      </c>
      <c r="E346" s="102">
        <f t="shared" si="28"/>
        <v>1100.1500000000005</v>
      </c>
      <c r="F346" s="100">
        <f t="shared" si="29"/>
        <v>1100.1500000000005</v>
      </c>
      <c r="G346" s="101">
        <f t="shared" si="30"/>
        <v>4080</v>
      </c>
      <c r="H346" s="101">
        <f t="shared" si="31"/>
        <v>272</v>
      </c>
    </row>
    <row r="347" spans="1:8" ht="21" x14ac:dyDescent="0.4">
      <c r="A347" s="109" t="s">
        <v>112</v>
      </c>
      <c r="B347" s="110">
        <v>0</v>
      </c>
      <c r="C347" s="109">
        <v>45244</v>
      </c>
      <c r="D347" s="98">
        <v>2023</v>
      </c>
      <c r="E347" s="102">
        <f t="shared" si="28"/>
        <v>1115.1500000000005</v>
      </c>
      <c r="F347" s="100">
        <f t="shared" si="29"/>
        <v>1115.1500000000005</v>
      </c>
      <c r="G347" s="101">
        <f t="shared" si="30"/>
        <v>4095</v>
      </c>
      <c r="H347" s="101">
        <f t="shared" si="31"/>
        <v>273</v>
      </c>
    </row>
    <row r="348" spans="1:8" ht="21" x14ac:dyDescent="0.4">
      <c r="A348" s="109" t="s">
        <v>112</v>
      </c>
      <c r="B348" s="110">
        <v>0</v>
      </c>
      <c r="C348" s="109">
        <v>45245</v>
      </c>
      <c r="D348" s="98">
        <v>2023</v>
      </c>
      <c r="E348" s="102">
        <f t="shared" si="28"/>
        <v>1130.1500000000005</v>
      </c>
      <c r="F348" s="100">
        <f t="shared" si="29"/>
        <v>1130.1500000000005</v>
      </c>
      <c r="G348" s="101">
        <f t="shared" si="30"/>
        <v>4110</v>
      </c>
      <c r="H348" s="101">
        <f t="shared" si="31"/>
        <v>274</v>
      </c>
    </row>
    <row r="349" spans="1:8" ht="21" x14ac:dyDescent="0.4">
      <c r="A349" s="109" t="s">
        <v>112</v>
      </c>
      <c r="B349" s="110">
        <v>0</v>
      </c>
      <c r="C349" s="109">
        <v>45246</v>
      </c>
      <c r="D349" s="98">
        <v>2023</v>
      </c>
      <c r="E349" s="102">
        <f t="shared" si="28"/>
        <v>1145.1500000000005</v>
      </c>
      <c r="F349" s="100">
        <f t="shared" si="29"/>
        <v>1145.1500000000005</v>
      </c>
      <c r="G349" s="101">
        <f t="shared" si="30"/>
        <v>4125</v>
      </c>
      <c r="H349" s="101">
        <f t="shared" si="31"/>
        <v>275</v>
      </c>
    </row>
    <row r="350" spans="1:8" ht="21" x14ac:dyDescent="0.4">
      <c r="A350" s="109" t="s">
        <v>112</v>
      </c>
      <c r="B350" s="110">
        <v>0</v>
      </c>
      <c r="C350" s="109">
        <v>45247</v>
      </c>
      <c r="D350" s="98">
        <v>2023</v>
      </c>
      <c r="E350" s="102">
        <f t="shared" si="28"/>
        <v>1160.1500000000005</v>
      </c>
      <c r="F350" s="100">
        <f t="shared" si="29"/>
        <v>1160.1500000000005</v>
      </c>
      <c r="G350" s="101">
        <f t="shared" si="30"/>
        <v>4140</v>
      </c>
      <c r="H350" s="101">
        <f t="shared" si="31"/>
        <v>276</v>
      </c>
    </row>
    <row r="351" spans="1:8" ht="21" x14ac:dyDescent="0.4">
      <c r="A351" s="109" t="s">
        <v>112</v>
      </c>
      <c r="B351" s="110">
        <v>0</v>
      </c>
      <c r="C351" s="109">
        <v>45248</v>
      </c>
      <c r="D351" s="98">
        <v>2023</v>
      </c>
      <c r="E351" s="102">
        <f t="shared" si="28"/>
        <v>1175.1500000000005</v>
      </c>
      <c r="F351" s="100">
        <f t="shared" si="29"/>
        <v>1175.1500000000005</v>
      </c>
      <c r="G351" s="101">
        <f t="shared" si="30"/>
        <v>4155</v>
      </c>
      <c r="H351" s="101">
        <f t="shared" si="31"/>
        <v>277</v>
      </c>
    </row>
    <row r="352" spans="1:8" ht="21" x14ac:dyDescent="0.4">
      <c r="A352" s="109" t="s">
        <v>112</v>
      </c>
      <c r="B352" s="110">
        <v>0</v>
      </c>
      <c r="C352" s="109">
        <v>45249</v>
      </c>
      <c r="D352" s="98">
        <v>2023</v>
      </c>
      <c r="E352" s="102">
        <f t="shared" si="28"/>
        <v>1190.1500000000005</v>
      </c>
      <c r="F352" s="100">
        <f t="shared" si="29"/>
        <v>1190.1500000000005</v>
      </c>
      <c r="G352" s="101">
        <f t="shared" si="30"/>
        <v>4170</v>
      </c>
      <c r="H352" s="101">
        <f t="shared" si="31"/>
        <v>278</v>
      </c>
    </row>
    <row r="353" spans="1:8" ht="21" x14ac:dyDescent="0.4">
      <c r="A353" s="109" t="s">
        <v>112</v>
      </c>
      <c r="B353" s="110">
        <v>0</v>
      </c>
      <c r="C353" s="109">
        <v>45250</v>
      </c>
      <c r="D353" s="98">
        <v>2023</v>
      </c>
      <c r="E353" s="102">
        <f t="shared" si="28"/>
        <v>1205.1500000000005</v>
      </c>
      <c r="F353" s="100">
        <f t="shared" si="29"/>
        <v>1205.1500000000005</v>
      </c>
      <c r="G353" s="101">
        <f t="shared" si="30"/>
        <v>4185</v>
      </c>
      <c r="H353" s="101">
        <f t="shared" si="31"/>
        <v>279</v>
      </c>
    </row>
    <row r="354" spans="1:8" ht="21" x14ac:dyDescent="0.4">
      <c r="A354" s="109" t="s">
        <v>112</v>
      </c>
      <c r="B354" s="110">
        <v>0</v>
      </c>
      <c r="C354" s="109">
        <v>45251</v>
      </c>
      <c r="D354" s="98">
        <v>2023</v>
      </c>
      <c r="E354" s="102">
        <f t="shared" si="28"/>
        <v>1220.1500000000005</v>
      </c>
      <c r="F354" s="100">
        <f t="shared" si="29"/>
        <v>1220.1500000000005</v>
      </c>
      <c r="G354" s="101">
        <f t="shared" si="30"/>
        <v>4200</v>
      </c>
      <c r="H354" s="101">
        <f t="shared" si="31"/>
        <v>280</v>
      </c>
    </row>
    <row r="355" spans="1:8" ht="21" x14ac:dyDescent="0.4">
      <c r="A355" s="109" t="s">
        <v>112</v>
      </c>
      <c r="B355" s="110">
        <v>0</v>
      </c>
      <c r="C355" s="109">
        <v>45252</v>
      </c>
      <c r="D355" s="98">
        <v>2023</v>
      </c>
      <c r="E355" s="102">
        <f t="shared" si="28"/>
        <v>1235.1500000000005</v>
      </c>
      <c r="F355" s="100">
        <f t="shared" si="29"/>
        <v>1235.1500000000005</v>
      </c>
      <c r="G355" s="101">
        <f t="shared" si="30"/>
        <v>4215</v>
      </c>
      <c r="H355" s="101">
        <f t="shared" si="31"/>
        <v>281</v>
      </c>
    </row>
    <row r="356" spans="1:8" ht="21" x14ac:dyDescent="0.4">
      <c r="A356" s="109" t="s">
        <v>112</v>
      </c>
      <c r="B356" s="110">
        <v>0</v>
      </c>
      <c r="C356" s="109">
        <v>45253</v>
      </c>
      <c r="D356" s="98">
        <v>2023</v>
      </c>
      <c r="E356" s="102">
        <f t="shared" si="28"/>
        <v>1250.1500000000005</v>
      </c>
      <c r="F356" s="100">
        <f t="shared" si="29"/>
        <v>1250.1500000000005</v>
      </c>
      <c r="G356" s="101">
        <f t="shared" si="30"/>
        <v>4230</v>
      </c>
      <c r="H356" s="101">
        <f t="shared" si="31"/>
        <v>282</v>
      </c>
    </row>
    <row r="357" spans="1:8" ht="21" x14ac:dyDescent="0.4">
      <c r="A357" s="109" t="s">
        <v>112</v>
      </c>
      <c r="B357" s="110">
        <v>0</v>
      </c>
      <c r="C357" s="109">
        <v>45254</v>
      </c>
      <c r="D357" s="98">
        <v>2023</v>
      </c>
      <c r="E357" s="102">
        <f t="shared" si="28"/>
        <v>1265.1500000000005</v>
      </c>
      <c r="F357" s="100">
        <f t="shared" si="29"/>
        <v>1265.1500000000005</v>
      </c>
      <c r="G357" s="101">
        <f t="shared" si="30"/>
        <v>4245</v>
      </c>
      <c r="H357" s="101">
        <f t="shared" si="31"/>
        <v>283</v>
      </c>
    </row>
    <row r="358" spans="1:8" ht="21" x14ac:dyDescent="0.4">
      <c r="A358" s="109" t="s">
        <v>112</v>
      </c>
      <c r="B358" s="110">
        <v>0</v>
      </c>
      <c r="C358" s="109">
        <v>45255</v>
      </c>
      <c r="D358" s="98">
        <v>2023</v>
      </c>
      <c r="E358" s="102">
        <f t="shared" si="28"/>
        <v>1280.1500000000005</v>
      </c>
      <c r="F358" s="100">
        <f t="shared" si="29"/>
        <v>1280.1500000000005</v>
      </c>
      <c r="G358" s="101">
        <f t="shared" si="30"/>
        <v>4260</v>
      </c>
      <c r="H358" s="101">
        <f t="shared" si="31"/>
        <v>284</v>
      </c>
    </row>
    <row r="359" spans="1:8" ht="21" x14ac:dyDescent="0.4">
      <c r="A359" s="109" t="s">
        <v>112</v>
      </c>
      <c r="B359" s="110">
        <v>0</v>
      </c>
      <c r="C359" s="109">
        <v>45256</v>
      </c>
      <c r="D359" s="98">
        <v>2023</v>
      </c>
      <c r="E359" s="102">
        <f t="shared" si="28"/>
        <v>1295.1500000000005</v>
      </c>
      <c r="F359" s="100">
        <f t="shared" si="29"/>
        <v>1295.1500000000005</v>
      </c>
      <c r="G359" s="101">
        <f t="shared" si="30"/>
        <v>4275</v>
      </c>
      <c r="H359" s="101">
        <f t="shared" si="31"/>
        <v>285</v>
      </c>
    </row>
    <row r="360" spans="1:8" ht="21" x14ac:dyDescent="0.4">
      <c r="A360" s="109" t="s">
        <v>112</v>
      </c>
      <c r="B360" s="110">
        <v>0</v>
      </c>
      <c r="C360" s="109">
        <v>45257</v>
      </c>
      <c r="D360" s="98">
        <v>2023</v>
      </c>
      <c r="E360" s="102">
        <f t="shared" si="28"/>
        <v>1310.1500000000005</v>
      </c>
      <c r="F360" s="100">
        <f t="shared" si="29"/>
        <v>1310.1500000000005</v>
      </c>
      <c r="G360" s="101">
        <f t="shared" si="30"/>
        <v>4290</v>
      </c>
      <c r="H360" s="101">
        <f t="shared" si="31"/>
        <v>286</v>
      </c>
    </row>
    <row r="361" spans="1:8" ht="21" x14ac:dyDescent="0.4">
      <c r="A361" s="109" t="s">
        <v>112</v>
      </c>
      <c r="B361" s="110">
        <v>0</v>
      </c>
      <c r="C361" s="109">
        <v>45258</v>
      </c>
      <c r="D361" s="98">
        <v>2023</v>
      </c>
      <c r="E361" s="102">
        <f t="shared" si="28"/>
        <v>1325.1500000000005</v>
      </c>
      <c r="F361" s="100">
        <f t="shared" si="29"/>
        <v>1325.1500000000005</v>
      </c>
      <c r="G361" s="101">
        <f t="shared" si="30"/>
        <v>4305</v>
      </c>
      <c r="H361" s="101">
        <f t="shared" si="31"/>
        <v>287</v>
      </c>
    </row>
    <row r="362" spans="1:8" ht="21" x14ac:dyDescent="0.4">
      <c r="A362" s="109" t="s">
        <v>112</v>
      </c>
      <c r="B362" s="110">
        <v>0</v>
      </c>
      <c r="C362" s="109">
        <v>45259</v>
      </c>
      <c r="D362" s="98">
        <v>2023</v>
      </c>
      <c r="E362" s="102">
        <f t="shared" si="28"/>
        <v>1340.1500000000005</v>
      </c>
      <c r="F362" s="100">
        <f t="shared" si="29"/>
        <v>1340.1500000000005</v>
      </c>
      <c r="G362" s="101">
        <f t="shared" si="30"/>
        <v>4320</v>
      </c>
      <c r="H362" s="101">
        <f t="shared" si="31"/>
        <v>288</v>
      </c>
    </row>
    <row r="363" spans="1:8" ht="21" x14ac:dyDescent="0.4">
      <c r="A363" s="109" t="s">
        <v>112</v>
      </c>
      <c r="B363" s="110">
        <v>0</v>
      </c>
      <c r="C363" s="109">
        <v>45260</v>
      </c>
      <c r="D363" s="98">
        <v>2023</v>
      </c>
      <c r="E363" s="102">
        <f t="shared" si="28"/>
        <v>1355.1500000000005</v>
      </c>
      <c r="F363" s="100">
        <f t="shared" si="29"/>
        <v>1355.1500000000005</v>
      </c>
      <c r="G363" s="101">
        <f t="shared" si="30"/>
        <v>4335</v>
      </c>
      <c r="H363" s="101">
        <f t="shared" si="31"/>
        <v>289</v>
      </c>
    </row>
    <row r="364" spans="1:8" ht="21" x14ac:dyDescent="0.4">
      <c r="A364" s="109" t="s">
        <v>112</v>
      </c>
      <c r="B364" s="110">
        <v>0</v>
      </c>
      <c r="C364" s="109">
        <v>45261</v>
      </c>
      <c r="D364" s="98">
        <v>2023</v>
      </c>
      <c r="E364" s="102">
        <f t="shared" si="28"/>
        <v>1370.1500000000005</v>
      </c>
      <c r="F364" s="100">
        <f t="shared" si="29"/>
        <v>1370.1500000000005</v>
      </c>
      <c r="G364" s="101">
        <f t="shared" si="30"/>
        <v>4350</v>
      </c>
      <c r="H364" s="101">
        <f t="shared" si="31"/>
        <v>290</v>
      </c>
    </row>
    <row r="365" spans="1:8" ht="21" x14ac:dyDescent="0.4">
      <c r="A365" s="109" t="s">
        <v>112</v>
      </c>
      <c r="B365" s="110">
        <v>0</v>
      </c>
      <c r="C365" s="109">
        <v>45262</v>
      </c>
      <c r="D365" s="98">
        <v>2023</v>
      </c>
      <c r="E365" s="102">
        <f t="shared" si="28"/>
        <v>1385.1500000000005</v>
      </c>
      <c r="F365" s="100">
        <f t="shared" si="29"/>
        <v>1385.1500000000005</v>
      </c>
      <c r="G365" s="101">
        <f t="shared" si="30"/>
        <v>4365</v>
      </c>
      <c r="H365" s="101">
        <f t="shared" si="31"/>
        <v>291</v>
      </c>
    </row>
    <row r="366" spans="1:8" ht="21" x14ac:dyDescent="0.4">
      <c r="A366" s="109" t="s">
        <v>112</v>
      </c>
      <c r="B366" s="110">
        <v>0</v>
      </c>
      <c r="C366" s="109">
        <v>45263</v>
      </c>
      <c r="D366" s="98">
        <v>2023</v>
      </c>
      <c r="E366" s="102">
        <f t="shared" si="28"/>
        <v>1400.1500000000005</v>
      </c>
      <c r="F366" s="100">
        <f t="shared" si="29"/>
        <v>1400.1500000000005</v>
      </c>
      <c r="G366" s="101">
        <f t="shared" si="30"/>
        <v>4380</v>
      </c>
      <c r="H366" s="101">
        <f t="shared" si="31"/>
        <v>292</v>
      </c>
    </row>
    <row r="367" spans="1:8" ht="21" x14ac:dyDescent="0.4">
      <c r="A367" s="109" t="s">
        <v>25</v>
      </c>
      <c r="B367" s="110">
        <v>23</v>
      </c>
      <c r="C367" s="109">
        <v>45264</v>
      </c>
      <c r="D367" s="98">
        <v>2023</v>
      </c>
      <c r="E367" s="102">
        <f t="shared" si="28"/>
        <v>1415.1500000000005</v>
      </c>
      <c r="F367" s="100">
        <f t="shared" si="29"/>
        <v>1392.1500000000005</v>
      </c>
      <c r="G367" s="101">
        <f t="shared" si="30"/>
        <v>4395</v>
      </c>
      <c r="H367" s="101">
        <f t="shared" si="31"/>
        <v>293</v>
      </c>
    </row>
    <row r="368" spans="1:8" ht="21" x14ac:dyDescent="0.4">
      <c r="A368" s="109" t="s">
        <v>25</v>
      </c>
      <c r="B368" s="110">
        <v>28</v>
      </c>
      <c r="C368" s="109">
        <v>45265</v>
      </c>
      <c r="D368" s="98">
        <v>2023</v>
      </c>
      <c r="E368" s="102">
        <f t="shared" si="28"/>
        <v>1407.1500000000005</v>
      </c>
      <c r="F368" s="100">
        <f t="shared" si="29"/>
        <v>1379.1500000000005</v>
      </c>
      <c r="G368" s="101">
        <f t="shared" si="30"/>
        <v>4410</v>
      </c>
      <c r="H368" s="101">
        <f t="shared" si="31"/>
        <v>294</v>
      </c>
    </row>
    <row r="369" spans="1:8" ht="21" x14ac:dyDescent="0.4">
      <c r="A369" s="109" t="s">
        <v>25</v>
      </c>
      <c r="B369" s="110">
        <v>4.45</v>
      </c>
      <c r="C369" s="109">
        <v>45266</v>
      </c>
      <c r="D369" s="98">
        <v>2023</v>
      </c>
      <c r="E369" s="102">
        <f t="shared" si="28"/>
        <v>1394.1500000000005</v>
      </c>
      <c r="F369" s="100">
        <f t="shared" si="29"/>
        <v>1389.7000000000005</v>
      </c>
      <c r="G369" s="101">
        <f t="shared" si="30"/>
        <v>4425</v>
      </c>
      <c r="H369" s="101">
        <f t="shared" si="31"/>
        <v>295</v>
      </c>
    </row>
    <row r="370" spans="1:8" ht="21" x14ac:dyDescent="0.4">
      <c r="A370" s="109" t="s">
        <v>25</v>
      </c>
      <c r="B370" s="110">
        <v>5.63</v>
      </c>
      <c r="C370" s="109">
        <v>45267</v>
      </c>
      <c r="D370" s="98">
        <v>2023</v>
      </c>
      <c r="E370" s="102">
        <f t="shared" si="28"/>
        <v>1404.7000000000005</v>
      </c>
      <c r="F370" s="100">
        <f t="shared" si="29"/>
        <v>1399.0700000000004</v>
      </c>
      <c r="G370" s="101">
        <f t="shared" si="30"/>
        <v>4440</v>
      </c>
      <c r="H370" s="101">
        <f t="shared" si="31"/>
        <v>296</v>
      </c>
    </row>
    <row r="371" spans="1:8" ht="21" x14ac:dyDescent="0.4">
      <c r="A371" s="109" t="s">
        <v>25</v>
      </c>
      <c r="B371" s="110">
        <v>0</v>
      </c>
      <c r="C371" s="109">
        <v>45268</v>
      </c>
      <c r="D371" s="98">
        <v>2023</v>
      </c>
      <c r="E371" s="102">
        <f t="shared" si="28"/>
        <v>1414.0700000000004</v>
      </c>
      <c r="F371" s="100">
        <f t="shared" si="29"/>
        <v>1414.0700000000004</v>
      </c>
      <c r="G371" s="101">
        <f t="shared" si="30"/>
        <v>4455</v>
      </c>
      <c r="H371" s="101">
        <f t="shared" si="31"/>
        <v>297</v>
      </c>
    </row>
    <row r="372" spans="1:8" ht="21" x14ac:dyDescent="0.4">
      <c r="A372" s="109" t="s">
        <v>25</v>
      </c>
      <c r="B372" s="110">
        <v>12</v>
      </c>
      <c r="C372" s="109">
        <v>45269</v>
      </c>
      <c r="D372" s="98">
        <v>2023</v>
      </c>
      <c r="E372" s="102">
        <f t="shared" si="28"/>
        <v>1429.0700000000004</v>
      </c>
      <c r="F372" s="100">
        <f t="shared" si="29"/>
        <v>1417.0700000000004</v>
      </c>
      <c r="G372" s="101">
        <f t="shared" si="30"/>
        <v>4470</v>
      </c>
      <c r="H372" s="101">
        <f t="shared" si="31"/>
        <v>298</v>
      </c>
    </row>
    <row r="373" spans="1:8" ht="21" x14ac:dyDescent="0.4">
      <c r="A373" s="109" t="s">
        <v>25</v>
      </c>
      <c r="B373" s="110">
        <v>8</v>
      </c>
      <c r="C373" s="109">
        <v>45270</v>
      </c>
      <c r="D373" s="98">
        <v>2023</v>
      </c>
      <c r="E373" s="102">
        <f t="shared" si="28"/>
        <v>1432.0700000000004</v>
      </c>
      <c r="F373" s="100">
        <f t="shared" si="29"/>
        <v>1424.0700000000004</v>
      </c>
      <c r="G373" s="101">
        <f t="shared" si="30"/>
        <v>4485</v>
      </c>
      <c r="H373" s="101">
        <f t="shared" si="31"/>
        <v>299</v>
      </c>
    </row>
    <row r="374" spans="1:8" ht="21" x14ac:dyDescent="0.4">
      <c r="A374" s="109" t="s">
        <v>25</v>
      </c>
      <c r="B374" s="110">
        <v>20</v>
      </c>
      <c r="C374" s="109">
        <v>45271</v>
      </c>
      <c r="D374" s="98">
        <v>2023</v>
      </c>
      <c r="E374" s="102">
        <f t="shared" si="28"/>
        <v>1439.0700000000004</v>
      </c>
      <c r="F374" s="100">
        <f t="shared" si="29"/>
        <v>1419.0700000000004</v>
      </c>
      <c r="G374" s="101">
        <f t="shared" si="30"/>
        <v>4500</v>
      </c>
      <c r="H374" s="101">
        <f t="shared" si="31"/>
        <v>300</v>
      </c>
    </row>
    <row r="375" spans="1:8" ht="21" x14ac:dyDescent="0.4">
      <c r="A375" s="109" t="s">
        <v>25</v>
      </c>
      <c r="B375" s="110">
        <v>6.5</v>
      </c>
      <c r="C375" s="109">
        <v>45272</v>
      </c>
      <c r="D375" s="98">
        <v>2023</v>
      </c>
      <c r="E375" s="102">
        <f t="shared" si="28"/>
        <v>1434.0700000000004</v>
      </c>
      <c r="F375" s="100">
        <f t="shared" si="29"/>
        <v>1427.5700000000004</v>
      </c>
      <c r="G375" s="101">
        <f t="shared" si="30"/>
        <v>4515</v>
      </c>
      <c r="H375" s="101">
        <f t="shared" si="31"/>
        <v>301</v>
      </c>
    </row>
    <row r="376" spans="1:8" ht="21" x14ac:dyDescent="0.4">
      <c r="A376" s="109" t="s">
        <v>22</v>
      </c>
      <c r="B376" s="110">
        <v>68.709999999999994</v>
      </c>
      <c r="C376" s="109">
        <v>45273</v>
      </c>
      <c r="D376" s="98">
        <v>2023</v>
      </c>
      <c r="E376" s="102">
        <f t="shared" si="28"/>
        <v>1442.5700000000004</v>
      </c>
      <c r="F376" s="100">
        <f t="shared" si="29"/>
        <v>1373.8600000000004</v>
      </c>
      <c r="G376" s="101">
        <f t="shared" si="30"/>
        <v>4530</v>
      </c>
      <c r="H376" s="101">
        <f t="shared" si="31"/>
        <v>302</v>
      </c>
    </row>
    <row r="377" spans="1:8" ht="21" x14ac:dyDescent="0.4">
      <c r="A377" s="109" t="s">
        <v>25</v>
      </c>
      <c r="B377" s="110">
        <v>23</v>
      </c>
      <c r="C377" s="109">
        <v>45274</v>
      </c>
      <c r="D377" s="98">
        <v>2023</v>
      </c>
      <c r="E377" s="102">
        <f t="shared" si="28"/>
        <v>1388.8600000000004</v>
      </c>
      <c r="F377" s="100">
        <f t="shared" si="29"/>
        <v>1365.8600000000004</v>
      </c>
      <c r="G377" s="101">
        <f t="shared" si="30"/>
        <v>4545</v>
      </c>
      <c r="H377" s="101">
        <f t="shared" si="31"/>
        <v>303</v>
      </c>
    </row>
    <row r="378" spans="1:8" ht="21" x14ac:dyDescent="0.4">
      <c r="A378" s="109" t="s">
        <v>112</v>
      </c>
      <c r="B378" s="110">
        <v>0</v>
      </c>
      <c r="C378" s="109">
        <v>45275</v>
      </c>
      <c r="D378" s="98">
        <v>2023</v>
      </c>
      <c r="E378" s="102">
        <f t="shared" si="28"/>
        <v>1380.8600000000004</v>
      </c>
      <c r="F378" s="100">
        <f t="shared" si="29"/>
        <v>1380.8600000000004</v>
      </c>
      <c r="G378" s="101">
        <f t="shared" si="30"/>
        <v>4560</v>
      </c>
      <c r="H378" s="101">
        <f t="shared" si="31"/>
        <v>304</v>
      </c>
    </row>
    <row r="379" spans="1:8" ht="21" x14ac:dyDescent="0.4">
      <c r="A379" s="109" t="s">
        <v>112</v>
      </c>
      <c r="B379" s="110">
        <v>0</v>
      </c>
      <c r="C379" s="109">
        <v>45276</v>
      </c>
      <c r="D379" s="98">
        <v>2023</v>
      </c>
      <c r="E379" s="102">
        <f t="shared" si="28"/>
        <v>1395.8600000000004</v>
      </c>
      <c r="F379" s="100">
        <f t="shared" si="29"/>
        <v>1395.8600000000004</v>
      </c>
      <c r="G379" s="101">
        <f t="shared" si="30"/>
        <v>4575</v>
      </c>
      <c r="H379" s="101">
        <f t="shared" si="31"/>
        <v>305</v>
      </c>
    </row>
    <row r="380" spans="1:8" ht="21" x14ac:dyDescent="0.4">
      <c r="A380" s="109" t="s">
        <v>112</v>
      </c>
      <c r="B380" s="110">
        <v>0</v>
      </c>
      <c r="C380" s="109">
        <v>45277</v>
      </c>
      <c r="D380" s="98">
        <v>2023</v>
      </c>
      <c r="E380" s="102">
        <f t="shared" si="28"/>
        <v>1410.8600000000004</v>
      </c>
      <c r="F380" s="100">
        <f t="shared" si="29"/>
        <v>1410.8600000000004</v>
      </c>
      <c r="G380" s="101">
        <f t="shared" si="30"/>
        <v>4590</v>
      </c>
      <c r="H380" s="101">
        <f t="shared" si="31"/>
        <v>306</v>
      </c>
    </row>
    <row r="381" spans="1:8" ht="21" x14ac:dyDescent="0.4">
      <c r="A381" s="109" t="s">
        <v>112</v>
      </c>
      <c r="B381" s="110">
        <v>0</v>
      </c>
      <c r="C381" s="109">
        <v>45278</v>
      </c>
      <c r="D381" s="98">
        <v>2023</v>
      </c>
      <c r="E381" s="102">
        <f t="shared" si="28"/>
        <v>1425.8600000000004</v>
      </c>
      <c r="F381" s="100">
        <f t="shared" si="29"/>
        <v>1425.8600000000004</v>
      </c>
      <c r="G381" s="101">
        <f t="shared" si="30"/>
        <v>4605</v>
      </c>
      <c r="H381" s="101">
        <f t="shared" si="31"/>
        <v>307</v>
      </c>
    </row>
    <row r="382" spans="1:8" ht="21" x14ac:dyDescent="0.4">
      <c r="A382" s="109" t="s">
        <v>112</v>
      </c>
      <c r="B382" s="110">
        <v>0</v>
      </c>
      <c r="C382" s="109">
        <v>45279</v>
      </c>
      <c r="D382" s="98">
        <v>2023</v>
      </c>
      <c r="E382" s="102">
        <f t="shared" si="28"/>
        <v>1440.8600000000004</v>
      </c>
      <c r="F382" s="100">
        <f t="shared" si="29"/>
        <v>1440.8600000000004</v>
      </c>
      <c r="G382" s="101">
        <f t="shared" si="30"/>
        <v>4620</v>
      </c>
      <c r="H382" s="101">
        <f t="shared" si="31"/>
        <v>308</v>
      </c>
    </row>
    <row r="383" spans="1:8" ht="21" x14ac:dyDescent="0.4">
      <c r="A383" s="109" t="s">
        <v>112</v>
      </c>
      <c r="B383" s="110">
        <v>0</v>
      </c>
      <c r="C383" s="109">
        <v>45280</v>
      </c>
      <c r="D383" s="98">
        <v>2023</v>
      </c>
      <c r="E383" s="102">
        <f t="shared" ref="E383:E446" si="32">IF(C383=C382,F382,F382+15)</f>
        <v>1455.8600000000004</v>
      </c>
      <c r="F383" s="100">
        <f t="shared" ref="F383:F446" si="33">E383-B383</f>
        <v>1455.8600000000004</v>
      </c>
      <c r="G383" s="101">
        <f t="shared" ref="G383:G446" si="34">IF(C383&lt;&gt;C382, 15+G382,G382)</f>
        <v>4635</v>
      </c>
      <c r="H383" s="101">
        <f t="shared" ref="H383:H446" si="35">G383/15</f>
        <v>309</v>
      </c>
    </row>
    <row r="384" spans="1:8" ht="21" x14ac:dyDescent="0.4">
      <c r="A384" s="109" t="s">
        <v>112</v>
      </c>
      <c r="B384" s="110">
        <v>0</v>
      </c>
      <c r="C384" s="109">
        <v>45281</v>
      </c>
      <c r="D384" s="98">
        <v>2023</v>
      </c>
      <c r="E384" s="102">
        <f t="shared" si="32"/>
        <v>1470.8600000000004</v>
      </c>
      <c r="F384" s="100">
        <f t="shared" si="33"/>
        <v>1470.8600000000004</v>
      </c>
      <c r="G384" s="101">
        <f t="shared" si="34"/>
        <v>4650</v>
      </c>
      <c r="H384" s="101">
        <f t="shared" si="35"/>
        <v>310</v>
      </c>
    </row>
    <row r="385" spans="1:8" ht="21" x14ac:dyDescent="0.4">
      <c r="A385" s="109" t="s">
        <v>112</v>
      </c>
      <c r="B385" s="110">
        <v>0</v>
      </c>
      <c r="C385" s="109">
        <v>45282</v>
      </c>
      <c r="D385" s="98">
        <v>2023</v>
      </c>
      <c r="E385" s="102">
        <f t="shared" si="32"/>
        <v>1485.8600000000004</v>
      </c>
      <c r="F385" s="100">
        <f t="shared" si="33"/>
        <v>1485.8600000000004</v>
      </c>
      <c r="G385" s="101">
        <f t="shared" si="34"/>
        <v>4665</v>
      </c>
      <c r="H385" s="101">
        <f t="shared" si="35"/>
        <v>311</v>
      </c>
    </row>
    <row r="386" spans="1:8" ht="21" x14ac:dyDescent="0.4">
      <c r="A386" s="109" t="s">
        <v>112</v>
      </c>
      <c r="B386" s="110">
        <v>0</v>
      </c>
      <c r="C386" s="109">
        <v>45283</v>
      </c>
      <c r="D386" s="98">
        <v>2023</v>
      </c>
      <c r="E386" s="102">
        <f t="shared" si="32"/>
        <v>1500.8600000000004</v>
      </c>
      <c r="F386" s="100">
        <f t="shared" si="33"/>
        <v>1500.8600000000004</v>
      </c>
      <c r="G386" s="101">
        <f t="shared" si="34"/>
        <v>4680</v>
      </c>
      <c r="H386" s="101">
        <f t="shared" si="35"/>
        <v>312</v>
      </c>
    </row>
    <row r="387" spans="1:8" ht="21" x14ac:dyDescent="0.4">
      <c r="A387" s="109" t="s">
        <v>112</v>
      </c>
      <c r="B387" s="110">
        <v>0</v>
      </c>
      <c r="C387" s="109">
        <v>45284</v>
      </c>
      <c r="D387" s="98">
        <v>2023</v>
      </c>
      <c r="E387" s="102">
        <f t="shared" si="32"/>
        <v>1515.8600000000004</v>
      </c>
      <c r="F387" s="100">
        <f t="shared" si="33"/>
        <v>1515.8600000000004</v>
      </c>
      <c r="G387" s="101">
        <f t="shared" si="34"/>
        <v>4695</v>
      </c>
      <c r="H387" s="101">
        <f t="shared" si="35"/>
        <v>313</v>
      </c>
    </row>
    <row r="388" spans="1:8" ht="21" x14ac:dyDescent="0.4">
      <c r="A388" s="109" t="s">
        <v>112</v>
      </c>
      <c r="B388" s="110">
        <v>0</v>
      </c>
      <c r="C388" s="109">
        <v>45285</v>
      </c>
      <c r="D388" s="98">
        <v>2023</v>
      </c>
      <c r="E388" s="102">
        <f t="shared" si="32"/>
        <v>1530.8600000000004</v>
      </c>
      <c r="F388" s="100">
        <f t="shared" si="33"/>
        <v>1530.8600000000004</v>
      </c>
      <c r="G388" s="101">
        <f t="shared" si="34"/>
        <v>4710</v>
      </c>
      <c r="H388" s="101">
        <f t="shared" si="35"/>
        <v>314</v>
      </c>
    </row>
    <row r="389" spans="1:8" ht="21" x14ac:dyDescent="0.4">
      <c r="A389" s="109" t="s">
        <v>112</v>
      </c>
      <c r="B389" s="110">
        <v>0</v>
      </c>
      <c r="C389" s="109">
        <v>45286</v>
      </c>
      <c r="D389" s="98">
        <v>2023</v>
      </c>
      <c r="E389" s="102">
        <f t="shared" si="32"/>
        <v>1545.8600000000004</v>
      </c>
      <c r="F389" s="100">
        <f t="shared" si="33"/>
        <v>1545.8600000000004</v>
      </c>
      <c r="G389" s="101">
        <f t="shared" si="34"/>
        <v>4725</v>
      </c>
      <c r="H389" s="101">
        <f t="shared" si="35"/>
        <v>315</v>
      </c>
    </row>
    <row r="390" spans="1:8" ht="21" x14ac:dyDescent="0.4">
      <c r="A390" s="109" t="s">
        <v>112</v>
      </c>
      <c r="B390" s="110">
        <v>0</v>
      </c>
      <c r="C390" s="109">
        <v>45287</v>
      </c>
      <c r="D390" s="98">
        <v>2023</v>
      </c>
      <c r="E390" s="102">
        <f t="shared" si="32"/>
        <v>1560.8600000000004</v>
      </c>
      <c r="F390" s="100">
        <f t="shared" si="33"/>
        <v>1560.8600000000004</v>
      </c>
      <c r="G390" s="101">
        <f t="shared" si="34"/>
        <v>4740</v>
      </c>
      <c r="H390" s="101">
        <f t="shared" si="35"/>
        <v>316</v>
      </c>
    </row>
    <row r="391" spans="1:8" ht="21" x14ac:dyDescent="0.4">
      <c r="A391" s="109" t="s">
        <v>112</v>
      </c>
      <c r="B391" s="110">
        <v>0</v>
      </c>
      <c r="C391" s="109">
        <v>45288</v>
      </c>
      <c r="D391" s="98">
        <v>2023</v>
      </c>
      <c r="E391" s="102">
        <f t="shared" si="32"/>
        <v>1575.8600000000004</v>
      </c>
      <c r="F391" s="100">
        <f t="shared" si="33"/>
        <v>1575.8600000000004</v>
      </c>
      <c r="G391" s="101">
        <f t="shared" si="34"/>
        <v>4755</v>
      </c>
      <c r="H391" s="101">
        <f t="shared" si="35"/>
        <v>317</v>
      </c>
    </row>
    <row r="392" spans="1:8" ht="21" x14ac:dyDescent="0.4">
      <c r="A392" s="109" t="s">
        <v>112</v>
      </c>
      <c r="B392" s="110">
        <v>0</v>
      </c>
      <c r="C392" s="109">
        <v>45289</v>
      </c>
      <c r="D392" s="98">
        <v>2023</v>
      </c>
      <c r="E392" s="102">
        <f t="shared" si="32"/>
        <v>1590.8600000000004</v>
      </c>
      <c r="F392" s="100">
        <f t="shared" si="33"/>
        <v>1590.8600000000004</v>
      </c>
      <c r="G392" s="101">
        <f t="shared" si="34"/>
        <v>4770</v>
      </c>
      <c r="H392" s="101">
        <f t="shared" si="35"/>
        <v>318</v>
      </c>
    </row>
    <row r="393" spans="1:8" ht="21" x14ac:dyDescent="0.4">
      <c r="A393" s="109" t="s">
        <v>112</v>
      </c>
      <c r="B393" s="110">
        <v>0</v>
      </c>
      <c r="C393" s="109">
        <v>45290</v>
      </c>
      <c r="D393" s="98">
        <v>2023</v>
      </c>
      <c r="E393" s="102">
        <f t="shared" si="32"/>
        <v>1605.8600000000004</v>
      </c>
      <c r="F393" s="100">
        <f t="shared" si="33"/>
        <v>1605.8600000000004</v>
      </c>
      <c r="G393" s="101">
        <f t="shared" si="34"/>
        <v>4785</v>
      </c>
      <c r="H393" s="101">
        <f t="shared" si="35"/>
        <v>319</v>
      </c>
    </row>
    <row r="394" spans="1:8" ht="21" x14ac:dyDescent="0.4">
      <c r="A394" s="109" t="s">
        <v>25</v>
      </c>
      <c r="B394" s="110">
        <v>375</v>
      </c>
      <c r="C394" s="109">
        <v>45291</v>
      </c>
      <c r="D394" s="98">
        <v>2023</v>
      </c>
      <c r="E394" s="102">
        <f t="shared" si="32"/>
        <v>1620.8600000000004</v>
      </c>
      <c r="F394" s="100">
        <f t="shared" si="33"/>
        <v>1245.8600000000004</v>
      </c>
      <c r="G394" s="101">
        <f t="shared" si="34"/>
        <v>4800</v>
      </c>
      <c r="H394" s="101">
        <f t="shared" si="35"/>
        <v>320</v>
      </c>
    </row>
    <row r="395" spans="1:8" ht="21" x14ac:dyDescent="0.4">
      <c r="A395" s="109" t="s">
        <v>112</v>
      </c>
      <c r="B395" s="110">
        <v>0</v>
      </c>
      <c r="C395" s="109">
        <v>45292</v>
      </c>
      <c r="D395" s="110">
        <v>2024</v>
      </c>
      <c r="E395" s="102">
        <f t="shared" si="32"/>
        <v>1260.8600000000004</v>
      </c>
      <c r="F395" s="100">
        <f t="shared" si="33"/>
        <v>1260.8600000000004</v>
      </c>
      <c r="G395" s="101">
        <f t="shared" si="34"/>
        <v>4815</v>
      </c>
      <c r="H395" s="101">
        <f t="shared" si="35"/>
        <v>321</v>
      </c>
    </row>
    <row r="396" spans="1:8" ht="21" x14ac:dyDescent="0.4">
      <c r="A396" s="109" t="s">
        <v>112</v>
      </c>
      <c r="B396" s="110">
        <v>0</v>
      </c>
      <c r="C396" s="109">
        <v>45293</v>
      </c>
      <c r="D396" s="110">
        <v>2024</v>
      </c>
      <c r="E396" s="102">
        <f t="shared" si="32"/>
        <v>1275.8600000000004</v>
      </c>
      <c r="F396" s="100">
        <f t="shared" si="33"/>
        <v>1275.8600000000004</v>
      </c>
      <c r="G396" s="101">
        <f t="shared" si="34"/>
        <v>4830</v>
      </c>
      <c r="H396" s="101">
        <f t="shared" si="35"/>
        <v>322</v>
      </c>
    </row>
    <row r="397" spans="1:8" ht="21" x14ac:dyDescent="0.4">
      <c r="A397" s="109" t="s">
        <v>112</v>
      </c>
      <c r="B397" s="110">
        <v>0</v>
      </c>
      <c r="C397" s="109">
        <v>45294</v>
      </c>
      <c r="D397" s="110">
        <v>2024</v>
      </c>
      <c r="E397" s="102">
        <f t="shared" si="32"/>
        <v>1290.8600000000004</v>
      </c>
      <c r="F397" s="100">
        <f t="shared" si="33"/>
        <v>1290.8600000000004</v>
      </c>
      <c r="G397" s="101">
        <f t="shared" si="34"/>
        <v>4845</v>
      </c>
      <c r="H397" s="101">
        <f t="shared" si="35"/>
        <v>323</v>
      </c>
    </row>
    <row r="398" spans="1:8" ht="21" x14ac:dyDescent="0.4">
      <c r="A398" s="109" t="s">
        <v>112</v>
      </c>
      <c r="B398" s="110">
        <v>0</v>
      </c>
      <c r="C398" s="109">
        <v>45295</v>
      </c>
      <c r="D398" s="110">
        <v>2024</v>
      </c>
      <c r="E398" s="102">
        <f t="shared" si="32"/>
        <v>1305.8600000000004</v>
      </c>
      <c r="F398" s="100">
        <f t="shared" si="33"/>
        <v>1305.8600000000004</v>
      </c>
      <c r="G398" s="101">
        <f t="shared" si="34"/>
        <v>4860</v>
      </c>
      <c r="H398" s="101">
        <f t="shared" si="35"/>
        <v>324</v>
      </c>
    </row>
    <row r="399" spans="1:8" ht="21" x14ac:dyDescent="0.4">
      <c r="A399" s="109" t="s">
        <v>112</v>
      </c>
      <c r="B399" s="110">
        <v>0</v>
      </c>
      <c r="C399" s="109">
        <v>45296</v>
      </c>
      <c r="D399" s="110">
        <v>2024</v>
      </c>
      <c r="E399" s="102">
        <f t="shared" si="32"/>
        <v>1320.8600000000004</v>
      </c>
      <c r="F399" s="100">
        <f t="shared" si="33"/>
        <v>1320.8600000000004</v>
      </c>
      <c r="G399" s="101">
        <f t="shared" si="34"/>
        <v>4875</v>
      </c>
      <c r="H399" s="101">
        <f t="shared" si="35"/>
        <v>325</v>
      </c>
    </row>
    <row r="400" spans="1:8" ht="21" x14ac:dyDescent="0.4">
      <c r="A400" s="109" t="s">
        <v>112</v>
      </c>
      <c r="B400" s="110">
        <v>0</v>
      </c>
      <c r="C400" s="109">
        <v>45297</v>
      </c>
      <c r="D400" s="110">
        <v>2024</v>
      </c>
      <c r="E400" s="102">
        <f t="shared" si="32"/>
        <v>1335.8600000000004</v>
      </c>
      <c r="F400" s="100">
        <f t="shared" si="33"/>
        <v>1335.8600000000004</v>
      </c>
      <c r="G400" s="101">
        <f t="shared" si="34"/>
        <v>4890</v>
      </c>
      <c r="H400" s="101">
        <f t="shared" si="35"/>
        <v>326</v>
      </c>
    </row>
    <row r="401" spans="1:8" ht="21" x14ac:dyDescent="0.4">
      <c r="A401" s="109" t="s">
        <v>112</v>
      </c>
      <c r="B401" s="110">
        <v>0</v>
      </c>
      <c r="C401" s="109">
        <v>45298</v>
      </c>
      <c r="D401" s="110">
        <v>2024</v>
      </c>
      <c r="E401" s="102">
        <f t="shared" si="32"/>
        <v>1350.8600000000004</v>
      </c>
      <c r="F401" s="100">
        <f t="shared" si="33"/>
        <v>1350.8600000000004</v>
      </c>
      <c r="G401" s="101">
        <f t="shared" si="34"/>
        <v>4905</v>
      </c>
      <c r="H401" s="101">
        <f t="shared" si="35"/>
        <v>327</v>
      </c>
    </row>
    <row r="402" spans="1:8" ht="21" x14ac:dyDescent="0.4">
      <c r="A402" s="109" t="s">
        <v>112</v>
      </c>
      <c r="B402" s="110">
        <v>0</v>
      </c>
      <c r="C402" s="109">
        <v>45299</v>
      </c>
      <c r="D402" s="110">
        <v>2024</v>
      </c>
      <c r="E402" s="102">
        <f t="shared" si="32"/>
        <v>1365.8600000000004</v>
      </c>
      <c r="F402" s="100">
        <f t="shared" si="33"/>
        <v>1365.8600000000004</v>
      </c>
      <c r="G402" s="101">
        <f t="shared" si="34"/>
        <v>4920</v>
      </c>
      <c r="H402" s="101">
        <f t="shared" si="35"/>
        <v>328</v>
      </c>
    </row>
    <row r="403" spans="1:8" ht="21" x14ac:dyDescent="0.4">
      <c r="A403" s="109" t="s">
        <v>112</v>
      </c>
      <c r="B403" s="110">
        <v>0</v>
      </c>
      <c r="C403" s="109">
        <v>45300</v>
      </c>
      <c r="D403" s="110">
        <v>2024</v>
      </c>
      <c r="E403" s="102">
        <f t="shared" si="32"/>
        <v>1380.8600000000004</v>
      </c>
      <c r="F403" s="100">
        <f t="shared" si="33"/>
        <v>1380.8600000000004</v>
      </c>
      <c r="G403" s="101">
        <f t="shared" si="34"/>
        <v>4935</v>
      </c>
      <c r="H403" s="101">
        <f t="shared" si="35"/>
        <v>329</v>
      </c>
    </row>
    <row r="404" spans="1:8" ht="21" x14ac:dyDescent="0.4">
      <c r="A404" s="109" t="s">
        <v>112</v>
      </c>
      <c r="B404" s="110">
        <v>0</v>
      </c>
      <c r="C404" s="109">
        <v>45301</v>
      </c>
      <c r="D404" s="110">
        <v>2024</v>
      </c>
      <c r="E404" s="102">
        <f t="shared" si="32"/>
        <v>1395.8600000000004</v>
      </c>
      <c r="F404" s="100">
        <f t="shared" si="33"/>
        <v>1395.8600000000004</v>
      </c>
      <c r="G404" s="101">
        <f t="shared" si="34"/>
        <v>4950</v>
      </c>
      <c r="H404" s="101">
        <f t="shared" si="35"/>
        <v>330</v>
      </c>
    </row>
    <row r="405" spans="1:8" ht="21" x14ac:dyDescent="0.4">
      <c r="A405" s="109" t="s">
        <v>112</v>
      </c>
      <c r="B405" s="110">
        <v>0</v>
      </c>
      <c r="C405" s="109">
        <v>45302</v>
      </c>
      <c r="D405" s="110">
        <v>2024</v>
      </c>
      <c r="E405" s="102">
        <f t="shared" si="32"/>
        <v>1410.8600000000004</v>
      </c>
      <c r="F405" s="100">
        <f t="shared" si="33"/>
        <v>1410.8600000000004</v>
      </c>
      <c r="G405" s="101">
        <f t="shared" si="34"/>
        <v>4965</v>
      </c>
      <c r="H405" s="101">
        <f t="shared" si="35"/>
        <v>331</v>
      </c>
    </row>
    <row r="406" spans="1:8" ht="21" x14ac:dyDescent="0.4">
      <c r="A406" s="109" t="s">
        <v>25</v>
      </c>
      <c r="B406" s="110">
        <v>35</v>
      </c>
      <c r="C406" s="109">
        <v>45303</v>
      </c>
      <c r="D406" s="110">
        <v>2024</v>
      </c>
      <c r="E406" s="102">
        <f t="shared" si="32"/>
        <v>1425.8600000000004</v>
      </c>
      <c r="F406" s="100">
        <f t="shared" si="33"/>
        <v>1390.8600000000004</v>
      </c>
      <c r="G406" s="101">
        <f t="shared" si="34"/>
        <v>4980</v>
      </c>
      <c r="H406" s="101">
        <f t="shared" si="35"/>
        <v>332</v>
      </c>
    </row>
    <row r="407" spans="1:8" ht="21" x14ac:dyDescent="0.4">
      <c r="A407" s="109" t="s">
        <v>112</v>
      </c>
      <c r="B407" s="110">
        <v>0</v>
      </c>
      <c r="C407" s="109">
        <v>45304</v>
      </c>
      <c r="D407" s="110">
        <v>2024</v>
      </c>
      <c r="E407" s="102">
        <f t="shared" si="32"/>
        <v>1405.8600000000004</v>
      </c>
      <c r="F407" s="100">
        <f t="shared" si="33"/>
        <v>1405.8600000000004</v>
      </c>
      <c r="G407" s="101">
        <f t="shared" si="34"/>
        <v>4995</v>
      </c>
      <c r="H407" s="101">
        <f t="shared" si="35"/>
        <v>333</v>
      </c>
    </row>
    <row r="408" spans="1:8" ht="21" x14ac:dyDescent="0.4">
      <c r="A408" s="109" t="s">
        <v>112</v>
      </c>
      <c r="B408" s="110">
        <v>0</v>
      </c>
      <c r="C408" s="109">
        <v>45305</v>
      </c>
      <c r="D408" s="110">
        <v>2024</v>
      </c>
      <c r="E408" s="102">
        <f t="shared" si="32"/>
        <v>1420.8600000000004</v>
      </c>
      <c r="F408" s="100">
        <f t="shared" si="33"/>
        <v>1420.8600000000004</v>
      </c>
      <c r="G408" s="101">
        <f t="shared" si="34"/>
        <v>5010</v>
      </c>
      <c r="H408" s="101">
        <f t="shared" si="35"/>
        <v>334</v>
      </c>
    </row>
    <row r="409" spans="1:8" ht="21" x14ac:dyDescent="0.4">
      <c r="A409" s="109" t="s">
        <v>25</v>
      </c>
      <c r="B409" s="110">
        <v>25</v>
      </c>
      <c r="C409" s="109">
        <v>45306</v>
      </c>
      <c r="D409" s="110">
        <v>2024</v>
      </c>
      <c r="E409" s="102">
        <f t="shared" si="32"/>
        <v>1435.8600000000004</v>
      </c>
      <c r="F409" s="100">
        <f t="shared" si="33"/>
        <v>1410.8600000000004</v>
      </c>
      <c r="G409" s="101">
        <f t="shared" si="34"/>
        <v>5025</v>
      </c>
      <c r="H409" s="101">
        <f t="shared" si="35"/>
        <v>335</v>
      </c>
    </row>
    <row r="410" spans="1:8" ht="21" x14ac:dyDescent="0.4">
      <c r="A410" s="109" t="s">
        <v>112</v>
      </c>
      <c r="B410" s="110">
        <v>0</v>
      </c>
      <c r="C410" s="109">
        <v>45307</v>
      </c>
      <c r="D410" s="110">
        <v>2024</v>
      </c>
      <c r="E410" s="102">
        <f t="shared" si="32"/>
        <v>1425.8600000000004</v>
      </c>
      <c r="F410" s="100">
        <f t="shared" si="33"/>
        <v>1425.8600000000004</v>
      </c>
      <c r="G410" s="101">
        <f t="shared" si="34"/>
        <v>5040</v>
      </c>
      <c r="H410" s="101">
        <f t="shared" si="35"/>
        <v>336</v>
      </c>
    </row>
    <row r="411" spans="1:8" ht="21" x14ac:dyDescent="0.4">
      <c r="A411" s="109" t="s">
        <v>112</v>
      </c>
      <c r="B411" s="110">
        <v>0</v>
      </c>
      <c r="C411" s="109">
        <v>45308</v>
      </c>
      <c r="D411" s="110">
        <v>2024</v>
      </c>
      <c r="E411" s="102">
        <f t="shared" si="32"/>
        <v>1440.8600000000004</v>
      </c>
      <c r="F411" s="100">
        <f t="shared" si="33"/>
        <v>1440.8600000000004</v>
      </c>
      <c r="G411" s="101">
        <f t="shared" si="34"/>
        <v>5055</v>
      </c>
      <c r="H411" s="101">
        <f t="shared" si="35"/>
        <v>337</v>
      </c>
    </row>
    <row r="412" spans="1:8" ht="21" x14ac:dyDescent="0.4">
      <c r="A412" s="109" t="s">
        <v>25</v>
      </c>
      <c r="B412" s="110">
        <v>16</v>
      </c>
      <c r="C412" s="109">
        <v>45309</v>
      </c>
      <c r="D412" s="110">
        <v>2024</v>
      </c>
      <c r="E412" s="102">
        <f t="shared" si="32"/>
        <v>1455.8600000000004</v>
      </c>
      <c r="F412" s="100">
        <f t="shared" si="33"/>
        <v>1439.8600000000004</v>
      </c>
      <c r="G412" s="101">
        <f t="shared" si="34"/>
        <v>5070</v>
      </c>
      <c r="H412" s="101">
        <f t="shared" si="35"/>
        <v>338</v>
      </c>
    </row>
    <row r="413" spans="1:8" ht="21" x14ac:dyDescent="0.4">
      <c r="A413" s="109" t="s">
        <v>112</v>
      </c>
      <c r="B413" s="110">
        <v>0</v>
      </c>
      <c r="C413" s="109">
        <v>45310</v>
      </c>
      <c r="D413" s="110">
        <v>2024</v>
      </c>
      <c r="E413" s="102">
        <f t="shared" si="32"/>
        <v>1454.8600000000004</v>
      </c>
      <c r="F413" s="100">
        <f t="shared" si="33"/>
        <v>1454.8600000000004</v>
      </c>
      <c r="G413" s="101">
        <f t="shared" si="34"/>
        <v>5085</v>
      </c>
      <c r="H413" s="101">
        <f t="shared" si="35"/>
        <v>339</v>
      </c>
    </row>
    <row r="414" spans="1:8" ht="21" x14ac:dyDescent="0.4">
      <c r="A414" s="109" t="s">
        <v>25</v>
      </c>
      <c r="B414" s="110">
        <v>14</v>
      </c>
      <c r="C414" s="109">
        <v>45311</v>
      </c>
      <c r="D414" s="110">
        <v>2024</v>
      </c>
      <c r="E414" s="102">
        <f t="shared" si="32"/>
        <v>1469.8600000000004</v>
      </c>
      <c r="F414" s="100">
        <f t="shared" si="33"/>
        <v>1455.8600000000004</v>
      </c>
      <c r="G414" s="101">
        <f t="shared" si="34"/>
        <v>5100</v>
      </c>
      <c r="H414" s="101">
        <f t="shared" si="35"/>
        <v>340</v>
      </c>
    </row>
    <row r="415" spans="1:8" ht="21" x14ac:dyDescent="0.4">
      <c r="A415" s="109" t="s">
        <v>112</v>
      </c>
      <c r="B415" s="110">
        <v>0</v>
      </c>
      <c r="C415" s="109">
        <v>45312</v>
      </c>
      <c r="D415" s="110">
        <v>2024</v>
      </c>
      <c r="E415" s="102">
        <f t="shared" si="32"/>
        <v>1470.8600000000004</v>
      </c>
      <c r="F415" s="100">
        <f t="shared" si="33"/>
        <v>1470.8600000000004</v>
      </c>
      <c r="G415" s="101">
        <f t="shared" si="34"/>
        <v>5115</v>
      </c>
      <c r="H415" s="101">
        <f t="shared" si="35"/>
        <v>341</v>
      </c>
    </row>
    <row r="416" spans="1:8" ht="21" x14ac:dyDescent="0.4">
      <c r="A416" s="109" t="s">
        <v>112</v>
      </c>
      <c r="B416" s="110">
        <v>0</v>
      </c>
      <c r="C416" s="109">
        <v>45313</v>
      </c>
      <c r="D416" s="110">
        <v>2024</v>
      </c>
      <c r="E416" s="102">
        <f t="shared" si="32"/>
        <v>1485.8600000000004</v>
      </c>
      <c r="F416" s="100">
        <f t="shared" si="33"/>
        <v>1485.8600000000004</v>
      </c>
      <c r="G416" s="101">
        <f t="shared" si="34"/>
        <v>5130</v>
      </c>
      <c r="H416" s="101">
        <f t="shared" si="35"/>
        <v>342</v>
      </c>
    </row>
    <row r="417" spans="1:8" ht="21" x14ac:dyDescent="0.4">
      <c r="A417" s="109" t="s">
        <v>25</v>
      </c>
      <c r="B417" s="110">
        <v>12</v>
      </c>
      <c r="C417" s="109">
        <v>45314</v>
      </c>
      <c r="D417" s="110">
        <v>2024</v>
      </c>
      <c r="E417" s="102">
        <f t="shared" si="32"/>
        <v>1500.8600000000004</v>
      </c>
      <c r="F417" s="100">
        <f t="shared" si="33"/>
        <v>1488.8600000000004</v>
      </c>
      <c r="G417" s="101">
        <f t="shared" si="34"/>
        <v>5145</v>
      </c>
      <c r="H417" s="101">
        <f t="shared" si="35"/>
        <v>343</v>
      </c>
    </row>
    <row r="418" spans="1:8" ht="21" x14ac:dyDescent="0.4">
      <c r="A418" s="109" t="s">
        <v>112</v>
      </c>
      <c r="B418" s="110">
        <v>0</v>
      </c>
      <c r="C418" s="109">
        <v>45315</v>
      </c>
      <c r="D418" s="110">
        <v>2024</v>
      </c>
      <c r="E418" s="102">
        <f t="shared" si="32"/>
        <v>1503.8600000000004</v>
      </c>
      <c r="F418" s="100">
        <f t="shared" si="33"/>
        <v>1503.8600000000004</v>
      </c>
      <c r="G418" s="101">
        <f t="shared" si="34"/>
        <v>5160</v>
      </c>
      <c r="H418" s="101">
        <f t="shared" si="35"/>
        <v>344</v>
      </c>
    </row>
    <row r="419" spans="1:8" ht="21" x14ac:dyDescent="0.4">
      <c r="A419" s="109" t="s">
        <v>112</v>
      </c>
      <c r="B419" s="110">
        <v>0</v>
      </c>
      <c r="C419" s="109">
        <v>45316</v>
      </c>
      <c r="D419" s="110">
        <v>2024</v>
      </c>
      <c r="E419" s="102">
        <f t="shared" si="32"/>
        <v>1518.8600000000004</v>
      </c>
      <c r="F419" s="100">
        <f t="shared" si="33"/>
        <v>1518.8600000000004</v>
      </c>
      <c r="G419" s="101">
        <f t="shared" si="34"/>
        <v>5175</v>
      </c>
      <c r="H419" s="101">
        <f t="shared" si="35"/>
        <v>345</v>
      </c>
    </row>
    <row r="420" spans="1:8" ht="21" x14ac:dyDescent="0.4">
      <c r="A420" s="109" t="s">
        <v>112</v>
      </c>
      <c r="B420" s="110">
        <v>0</v>
      </c>
      <c r="C420" s="109">
        <v>45317</v>
      </c>
      <c r="D420" s="110">
        <v>2024</v>
      </c>
      <c r="E420" s="102">
        <f t="shared" si="32"/>
        <v>1533.8600000000004</v>
      </c>
      <c r="F420" s="100">
        <f t="shared" si="33"/>
        <v>1533.8600000000004</v>
      </c>
      <c r="G420" s="101">
        <f t="shared" si="34"/>
        <v>5190</v>
      </c>
      <c r="H420" s="101">
        <f t="shared" si="35"/>
        <v>346</v>
      </c>
    </row>
    <row r="421" spans="1:8" ht="21" x14ac:dyDescent="0.4">
      <c r="A421" s="109" t="s">
        <v>112</v>
      </c>
      <c r="B421" s="110">
        <v>0</v>
      </c>
      <c r="C421" s="109">
        <v>45318</v>
      </c>
      <c r="D421" s="110">
        <v>2024</v>
      </c>
      <c r="E421" s="102">
        <f t="shared" si="32"/>
        <v>1548.8600000000004</v>
      </c>
      <c r="F421" s="100">
        <f t="shared" si="33"/>
        <v>1548.8600000000004</v>
      </c>
      <c r="G421" s="101">
        <f t="shared" si="34"/>
        <v>5205</v>
      </c>
      <c r="H421" s="101">
        <f t="shared" si="35"/>
        <v>347</v>
      </c>
    </row>
    <row r="422" spans="1:8" ht="21" x14ac:dyDescent="0.4">
      <c r="A422" s="109" t="s">
        <v>112</v>
      </c>
      <c r="B422" s="110">
        <v>0</v>
      </c>
      <c r="C422" s="109">
        <v>45319</v>
      </c>
      <c r="D422" s="110">
        <v>2024</v>
      </c>
      <c r="E422" s="102">
        <f t="shared" si="32"/>
        <v>1563.8600000000004</v>
      </c>
      <c r="F422" s="100">
        <f t="shared" si="33"/>
        <v>1563.8600000000004</v>
      </c>
      <c r="G422" s="101">
        <f t="shared" si="34"/>
        <v>5220</v>
      </c>
      <c r="H422" s="101">
        <f t="shared" si="35"/>
        <v>348</v>
      </c>
    </row>
    <row r="423" spans="1:8" ht="21" x14ac:dyDescent="0.4">
      <c r="A423" s="109" t="s">
        <v>112</v>
      </c>
      <c r="B423" s="110">
        <v>0</v>
      </c>
      <c r="C423" s="109">
        <v>45320</v>
      </c>
      <c r="D423" s="110">
        <v>2024</v>
      </c>
      <c r="E423" s="102">
        <f t="shared" si="32"/>
        <v>1578.8600000000004</v>
      </c>
      <c r="F423" s="100">
        <f t="shared" si="33"/>
        <v>1578.8600000000004</v>
      </c>
      <c r="G423" s="101">
        <f t="shared" si="34"/>
        <v>5235</v>
      </c>
      <c r="H423" s="101">
        <f t="shared" si="35"/>
        <v>349</v>
      </c>
    </row>
    <row r="424" spans="1:8" ht="21" x14ac:dyDescent="0.4">
      <c r="A424" s="109" t="s">
        <v>112</v>
      </c>
      <c r="B424" s="110">
        <v>0</v>
      </c>
      <c r="C424" s="109">
        <v>45321</v>
      </c>
      <c r="D424" s="110">
        <v>2024</v>
      </c>
      <c r="E424" s="102">
        <f t="shared" si="32"/>
        <v>1593.8600000000004</v>
      </c>
      <c r="F424" s="100">
        <f t="shared" si="33"/>
        <v>1593.8600000000004</v>
      </c>
      <c r="G424" s="101">
        <f t="shared" si="34"/>
        <v>5250</v>
      </c>
      <c r="H424" s="101">
        <f t="shared" si="35"/>
        <v>350</v>
      </c>
    </row>
    <row r="425" spans="1:8" ht="21" x14ac:dyDescent="0.4">
      <c r="A425" s="109" t="s">
        <v>25</v>
      </c>
      <c r="B425" s="110">
        <v>648</v>
      </c>
      <c r="C425" s="109">
        <v>45322</v>
      </c>
      <c r="D425" s="110">
        <v>2024</v>
      </c>
      <c r="E425" s="102">
        <f t="shared" si="32"/>
        <v>1608.8600000000004</v>
      </c>
      <c r="F425" s="100">
        <f t="shared" si="33"/>
        <v>960.86000000000035</v>
      </c>
      <c r="G425" s="101">
        <f t="shared" si="34"/>
        <v>5265</v>
      </c>
      <c r="H425" s="101">
        <f t="shared" si="35"/>
        <v>351</v>
      </c>
    </row>
    <row r="426" spans="1:8" ht="21" x14ac:dyDescent="0.4">
      <c r="A426" s="109" t="s">
        <v>25</v>
      </c>
      <c r="B426" s="110">
        <v>31</v>
      </c>
      <c r="C426" s="109">
        <v>45323</v>
      </c>
      <c r="D426" s="110">
        <v>2024</v>
      </c>
      <c r="E426" s="102">
        <f t="shared" si="32"/>
        <v>975.86000000000035</v>
      </c>
      <c r="F426" s="100">
        <f t="shared" si="33"/>
        <v>944.86000000000035</v>
      </c>
      <c r="G426" s="101">
        <f t="shared" si="34"/>
        <v>5280</v>
      </c>
      <c r="H426" s="101">
        <f t="shared" si="35"/>
        <v>352</v>
      </c>
    </row>
    <row r="427" spans="1:8" ht="21" x14ac:dyDescent="0.4">
      <c r="A427" s="109" t="s">
        <v>25</v>
      </c>
      <c r="B427" s="110">
        <v>48.5</v>
      </c>
      <c r="C427" s="109">
        <v>45324</v>
      </c>
      <c r="D427" s="110">
        <v>2024</v>
      </c>
      <c r="E427" s="102">
        <f t="shared" si="32"/>
        <v>959.86000000000035</v>
      </c>
      <c r="F427" s="100">
        <f t="shared" si="33"/>
        <v>911.36000000000035</v>
      </c>
      <c r="G427" s="101">
        <f t="shared" si="34"/>
        <v>5295</v>
      </c>
      <c r="H427" s="101">
        <f t="shared" si="35"/>
        <v>353</v>
      </c>
    </row>
    <row r="428" spans="1:8" ht="21" x14ac:dyDescent="0.4">
      <c r="A428" s="109" t="s">
        <v>112</v>
      </c>
      <c r="B428" s="110">
        <v>0</v>
      </c>
      <c r="C428" s="109">
        <v>45325</v>
      </c>
      <c r="D428" s="110">
        <v>2024</v>
      </c>
      <c r="E428" s="102">
        <f t="shared" si="32"/>
        <v>926.36000000000035</v>
      </c>
      <c r="F428" s="100">
        <f t="shared" si="33"/>
        <v>926.36000000000035</v>
      </c>
      <c r="G428" s="101">
        <f t="shared" si="34"/>
        <v>5310</v>
      </c>
      <c r="H428" s="101">
        <f t="shared" si="35"/>
        <v>354</v>
      </c>
    </row>
    <row r="429" spans="1:8" ht="21" x14ac:dyDescent="0.4">
      <c r="A429" s="109" t="s">
        <v>25</v>
      </c>
      <c r="B429" s="110">
        <v>40</v>
      </c>
      <c r="C429" s="109">
        <v>45326</v>
      </c>
      <c r="D429" s="110">
        <v>2024</v>
      </c>
      <c r="E429" s="102">
        <f t="shared" si="32"/>
        <v>941.36000000000035</v>
      </c>
      <c r="F429" s="100">
        <f t="shared" si="33"/>
        <v>901.36000000000035</v>
      </c>
      <c r="G429" s="101">
        <f t="shared" si="34"/>
        <v>5325</v>
      </c>
      <c r="H429" s="101">
        <f t="shared" si="35"/>
        <v>355</v>
      </c>
    </row>
    <row r="430" spans="1:8" ht="21" x14ac:dyDescent="0.4">
      <c r="A430" s="109" t="s">
        <v>25</v>
      </c>
      <c r="B430" s="110">
        <v>4.45</v>
      </c>
      <c r="C430" s="109">
        <v>45327</v>
      </c>
      <c r="D430" s="110">
        <v>2024</v>
      </c>
      <c r="E430" s="102">
        <f t="shared" si="32"/>
        <v>916.36000000000035</v>
      </c>
      <c r="F430" s="100">
        <f t="shared" si="33"/>
        <v>911.91000000000031</v>
      </c>
      <c r="G430" s="101">
        <f t="shared" si="34"/>
        <v>5340</v>
      </c>
      <c r="H430" s="101">
        <f t="shared" si="35"/>
        <v>356</v>
      </c>
    </row>
    <row r="431" spans="1:8" ht="21" x14ac:dyDescent="0.4">
      <c r="A431" s="109" t="s">
        <v>112</v>
      </c>
      <c r="B431" s="110">
        <v>0</v>
      </c>
      <c r="C431" s="109">
        <v>45328</v>
      </c>
      <c r="D431" s="110">
        <v>2024</v>
      </c>
      <c r="E431" s="102">
        <f t="shared" si="32"/>
        <v>926.91000000000031</v>
      </c>
      <c r="F431" s="100">
        <f t="shared" si="33"/>
        <v>926.91000000000031</v>
      </c>
      <c r="G431" s="101">
        <f t="shared" si="34"/>
        <v>5355</v>
      </c>
      <c r="H431" s="101">
        <f t="shared" si="35"/>
        <v>357</v>
      </c>
    </row>
    <row r="432" spans="1:8" ht="21" x14ac:dyDescent="0.4">
      <c r="A432" s="109" t="s">
        <v>25</v>
      </c>
      <c r="B432" s="110">
        <v>9.5</v>
      </c>
      <c r="C432" s="109">
        <v>45329</v>
      </c>
      <c r="D432" s="110">
        <v>2024</v>
      </c>
      <c r="E432" s="102">
        <f t="shared" si="32"/>
        <v>941.91000000000031</v>
      </c>
      <c r="F432" s="100">
        <f t="shared" si="33"/>
        <v>932.41000000000031</v>
      </c>
      <c r="G432" s="101">
        <f t="shared" si="34"/>
        <v>5370</v>
      </c>
      <c r="H432" s="101">
        <f t="shared" si="35"/>
        <v>358</v>
      </c>
    </row>
    <row r="433" spans="1:8" ht="21" x14ac:dyDescent="0.4">
      <c r="A433" s="109" t="s">
        <v>25</v>
      </c>
      <c r="B433" s="110">
        <v>100</v>
      </c>
      <c r="C433" s="109">
        <v>45330</v>
      </c>
      <c r="D433" s="110">
        <v>2024</v>
      </c>
      <c r="E433" s="102">
        <f t="shared" si="32"/>
        <v>947.41000000000031</v>
      </c>
      <c r="F433" s="100">
        <f t="shared" si="33"/>
        <v>847.41000000000031</v>
      </c>
      <c r="G433" s="101">
        <f t="shared" si="34"/>
        <v>5385</v>
      </c>
      <c r="H433" s="101">
        <f t="shared" si="35"/>
        <v>359</v>
      </c>
    </row>
    <row r="434" spans="1:8" ht="21" x14ac:dyDescent="0.4">
      <c r="A434" s="109" t="s">
        <v>25</v>
      </c>
      <c r="B434" s="110">
        <v>7</v>
      </c>
      <c r="C434" s="109">
        <v>45331</v>
      </c>
      <c r="D434" s="110">
        <v>2024</v>
      </c>
      <c r="E434" s="102">
        <f t="shared" si="32"/>
        <v>862.41000000000031</v>
      </c>
      <c r="F434" s="100">
        <f t="shared" si="33"/>
        <v>855.41000000000031</v>
      </c>
      <c r="G434" s="101">
        <f t="shared" si="34"/>
        <v>5400</v>
      </c>
      <c r="H434" s="101">
        <f t="shared" si="35"/>
        <v>360</v>
      </c>
    </row>
    <row r="435" spans="1:8" ht="21" x14ac:dyDescent="0.4">
      <c r="A435" s="109" t="s">
        <v>25</v>
      </c>
      <c r="B435" s="110">
        <v>9.5</v>
      </c>
      <c r="C435" s="109">
        <v>45332</v>
      </c>
      <c r="D435" s="110">
        <v>2024</v>
      </c>
      <c r="E435" s="102">
        <f t="shared" si="32"/>
        <v>870.41000000000031</v>
      </c>
      <c r="F435" s="100">
        <f t="shared" si="33"/>
        <v>860.91000000000031</v>
      </c>
      <c r="G435" s="101">
        <f t="shared" si="34"/>
        <v>5415</v>
      </c>
      <c r="H435" s="101">
        <f t="shared" si="35"/>
        <v>361</v>
      </c>
    </row>
    <row r="436" spans="1:8" ht="21" x14ac:dyDescent="0.4">
      <c r="A436" s="109" t="s">
        <v>25</v>
      </c>
      <c r="B436" s="110">
        <v>3.5</v>
      </c>
      <c r="C436" s="109">
        <v>45333</v>
      </c>
      <c r="D436" s="110">
        <v>2024</v>
      </c>
      <c r="E436" s="102">
        <f t="shared" si="32"/>
        <v>875.91000000000031</v>
      </c>
      <c r="F436" s="100">
        <f t="shared" si="33"/>
        <v>872.41000000000031</v>
      </c>
      <c r="G436" s="101">
        <f t="shared" si="34"/>
        <v>5430</v>
      </c>
      <c r="H436" s="101">
        <f t="shared" si="35"/>
        <v>362</v>
      </c>
    </row>
    <row r="437" spans="1:8" ht="21" x14ac:dyDescent="0.4">
      <c r="A437" s="109" t="s">
        <v>25</v>
      </c>
      <c r="B437" s="110">
        <v>6</v>
      </c>
      <c r="C437" s="109">
        <v>45334</v>
      </c>
      <c r="D437" s="110">
        <v>2024</v>
      </c>
      <c r="E437" s="102">
        <f t="shared" si="32"/>
        <v>887.41000000000031</v>
      </c>
      <c r="F437" s="100">
        <f t="shared" si="33"/>
        <v>881.41000000000031</v>
      </c>
      <c r="G437" s="101">
        <f t="shared" si="34"/>
        <v>5445</v>
      </c>
      <c r="H437" s="101">
        <f t="shared" si="35"/>
        <v>363</v>
      </c>
    </row>
    <row r="438" spans="1:8" ht="21" x14ac:dyDescent="0.4">
      <c r="A438" s="109" t="s">
        <v>25</v>
      </c>
      <c r="B438" s="110">
        <v>5.05</v>
      </c>
      <c r="C438" s="109">
        <v>45335</v>
      </c>
      <c r="D438" s="110">
        <v>2024</v>
      </c>
      <c r="E438" s="102">
        <f t="shared" si="32"/>
        <v>896.41000000000031</v>
      </c>
      <c r="F438" s="100">
        <f t="shared" si="33"/>
        <v>891.36000000000035</v>
      </c>
      <c r="G438" s="101">
        <f t="shared" si="34"/>
        <v>5460</v>
      </c>
      <c r="H438" s="101">
        <f t="shared" si="35"/>
        <v>364</v>
      </c>
    </row>
    <row r="439" spans="1:8" ht="21" x14ac:dyDescent="0.4">
      <c r="A439" s="109" t="s">
        <v>25</v>
      </c>
      <c r="B439" s="110">
        <v>45</v>
      </c>
      <c r="C439" s="109">
        <v>45336</v>
      </c>
      <c r="D439" s="110">
        <v>2024</v>
      </c>
      <c r="E439" s="102">
        <f t="shared" si="32"/>
        <v>906.36000000000035</v>
      </c>
      <c r="F439" s="100">
        <f t="shared" si="33"/>
        <v>861.36000000000035</v>
      </c>
      <c r="G439" s="101">
        <f t="shared" si="34"/>
        <v>5475</v>
      </c>
      <c r="H439" s="101">
        <f t="shared" si="35"/>
        <v>365</v>
      </c>
    </row>
    <row r="440" spans="1:8" ht="21" x14ac:dyDescent="0.4">
      <c r="A440" s="109" t="s">
        <v>25</v>
      </c>
      <c r="B440" s="110">
        <v>30</v>
      </c>
      <c r="C440" s="109">
        <v>45337</v>
      </c>
      <c r="D440" s="110">
        <v>2024</v>
      </c>
      <c r="E440" s="102">
        <f t="shared" si="32"/>
        <v>876.36000000000035</v>
      </c>
      <c r="F440" s="100">
        <f t="shared" si="33"/>
        <v>846.36000000000035</v>
      </c>
      <c r="G440" s="101">
        <f t="shared" si="34"/>
        <v>5490</v>
      </c>
      <c r="H440" s="101">
        <f t="shared" si="35"/>
        <v>366</v>
      </c>
    </row>
    <row r="441" spans="1:8" ht="21" x14ac:dyDescent="0.4">
      <c r="A441" s="109" t="s">
        <v>25</v>
      </c>
      <c r="B441" s="110">
        <v>27.5</v>
      </c>
      <c r="C441" s="109">
        <v>45338</v>
      </c>
      <c r="D441" s="110">
        <v>2024</v>
      </c>
      <c r="E441" s="102">
        <f t="shared" si="32"/>
        <v>861.36000000000035</v>
      </c>
      <c r="F441" s="100">
        <f t="shared" si="33"/>
        <v>833.86000000000035</v>
      </c>
      <c r="G441" s="101">
        <f t="shared" si="34"/>
        <v>5505</v>
      </c>
      <c r="H441" s="101">
        <f t="shared" si="35"/>
        <v>367</v>
      </c>
    </row>
    <row r="442" spans="1:8" ht="21" x14ac:dyDescent="0.4">
      <c r="A442" s="109" t="s">
        <v>25</v>
      </c>
      <c r="B442" s="110">
        <v>25</v>
      </c>
      <c r="C442" s="109">
        <v>45339</v>
      </c>
      <c r="D442" s="110">
        <v>2024</v>
      </c>
      <c r="E442" s="102">
        <f t="shared" si="32"/>
        <v>848.86000000000035</v>
      </c>
      <c r="F442" s="100">
        <f t="shared" si="33"/>
        <v>823.86000000000035</v>
      </c>
      <c r="G442" s="101">
        <f t="shared" si="34"/>
        <v>5520</v>
      </c>
      <c r="H442" s="101">
        <f t="shared" si="35"/>
        <v>368</v>
      </c>
    </row>
    <row r="443" spans="1:8" ht="21" x14ac:dyDescent="0.4">
      <c r="A443" s="109" t="s">
        <v>25</v>
      </c>
      <c r="B443" s="110">
        <v>12.5</v>
      </c>
      <c r="C443" s="109">
        <v>45340</v>
      </c>
      <c r="D443" s="110">
        <v>2024</v>
      </c>
      <c r="E443" s="102">
        <f t="shared" si="32"/>
        <v>838.86000000000035</v>
      </c>
      <c r="F443" s="100">
        <f t="shared" si="33"/>
        <v>826.36000000000035</v>
      </c>
      <c r="G443" s="101">
        <f t="shared" si="34"/>
        <v>5535</v>
      </c>
      <c r="H443" s="101">
        <f t="shared" si="35"/>
        <v>369</v>
      </c>
    </row>
    <row r="444" spans="1:8" ht="21" x14ac:dyDescent="0.4">
      <c r="A444" s="109" t="s">
        <v>25</v>
      </c>
      <c r="B444" s="110">
        <v>9.5</v>
      </c>
      <c r="C444" s="109">
        <v>45341</v>
      </c>
      <c r="D444" s="110">
        <v>2024</v>
      </c>
      <c r="E444" s="102">
        <f t="shared" si="32"/>
        <v>841.36000000000035</v>
      </c>
      <c r="F444" s="100">
        <f t="shared" si="33"/>
        <v>831.86000000000035</v>
      </c>
      <c r="G444" s="101">
        <f t="shared" si="34"/>
        <v>5550</v>
      </c>
      <c r="H444" s="101">
        <f t="shared" si="35"/>
        <v>370</v>
      </c>
    </row>
    <row r="445" spans="1:8" ht="21" x14ac:dyDescent="0.4">
      <c r="A445" s="109" t="s">
        <v>25</v>
      </c>
      <c r="B445" s="110">
        <v>75</v>
      </c>
      <c r="C445" s="109">
        <v>45342</v>
      </c>
      <c r="D445" s="110">
        <v>2024</v>
      </c>
      <c r="E445" s="102">
        <f t="shared" si="32"/>
        <v>846.86000000000035</v>
      </c>
      <c r="F445" s="100">
        <f t="shared" si="33"/>
        <v>771.86000000000035</v>
      </c>
      <c r="G445" s="101">
        <f t="shared" si="34"/>
        <v>5565</v>
      </c>
      <c r="H445" s="101">
        <f t="shared" si="35"/>
        <v>371</v>
      </c>
    </row>
    <row r="446" spans="1:8" ht="21" x14ac:dyDescent="0.4">
      <c r="A446" s="109" t="s">
        <v>25</v>
      </c>
      <c r="B446" s="110">
        <v>6.55</v>
      </c>
      <c r="C446" s="109">
        <v>45343</v>
      </c>
      <c r="D446" s="110">
        <v>2024</v>
      </c>
      <c r="E446" s="102">
        <f t="shared" si="32"/>
        <v>786.86000000000035</v>
      </c>
      <c r="F446" s="100">
        <f t="shared" si="33"/>
        <v>780.3100000000004</v>
      </c>
      <c r="G446" s="101">
        <f t="shared" si="34"/>
        <v>5580</v>
      </c>
      <c r="H446" s="101">
        <f t="shared" si="35"/>
        <v>372</v>
      </c>
    </row>
    <row r="447" spans="1:8" ht="21" x14ac:dyDescent="0.4">
      <c r="A447" s="109" t="s">
        <v>25</v>
      </c>
      <c r="B447" s="110">
        <v>30</v>
      </c>
      <c r="C447" s="109">
        <v>45344</v>
      </c>
      <c r="D447" s="110">
        <v>2024</v>
      </c>
      <c r="E447" s="102">
        <f t="shared" ref="E447:E510" si="36">IF(C447=C446,F446,F446+15)</f>
        <v>795.3100000000004</v>
      </c>
      <c r="F447" s="100">
        <f t="shared" ref="F447:F510" si="37">E447-B447</f>
        <v>765.3100000000004</v>
      </c>
      <c r="G447" s="101">
        <f t="shared" ref="G447:G510" si="38">IF(C447&lt;&gt;C446, 15+G446,G446)</f>
        <v>5595</v>
      </c>
      <c r="H447" s="101">
        <f t="shared" ref="H447:H510" si="39">G447/15</f>
        <v>373</v>
      </c>
    </row>
    <row r="448" spans="1:8" ht="21" x14ac:dyDescent="0.4">
      <c r="A448" s="109" t="s">
        <v>25</v>
      </c>
      <c r="B448" s="110">
        <v>16.7</v>
      </c>
      <c r="C448" s="109">
        <v>45345</v>
      </c>
      <c r="D448" s="110">
        <v>2024</v>
      </c>
      <c r="E448" s="102">
        <f t="shared" si="36"/>
        <v>780.3100000000004</v>
      </c>
      <c r="F448" s="100">
        <f t="shared" si="37"/>
        <v>763.61000000000035</v>
      </c>
      <c r="G448" s="101">
        <f t="shared" si="38"/>
        <v>5610</v>
      </c>
      <c r="H448" s="101">
        <f t="shared" si="39"/>
        <v>374</v>
      </c>
    </row>
    <row r="449" spans="1:8" ht="21" x14ac:dyDescent="0.4">
      <c r="A449" s="109" t="s">
        <v>25</v>
      </c>
      <c r="B449" s="110">
        <v>17</v>
      </c>
      <c r="C449" s="109">
        <v>45346</v>
      </c>
      <c r="D449" s="110">
        <v>2024</v>
      </c>
      <c r="E449" s="102">
        <f t="shared" si="36"/>
        <v>778.61000000000035</v>
      </c>
      <c r="F449" s="100">
        <f t="shared" si="37"/>
        <v>761.61000000000035</v>
      </c>
      <c r="G449" s="101">
        <f t="shared" si="38"/>
        <v>5625</v>
      </c>
      <c r="H449" s="101">
        <f t="shared" si="39"/>
        <v>375</v>
      </c>
    </row>
    <row r="450" spans="1:8" ht="21" x14ac:dyDescent="0.4">
      <c r="A450" s="109" t="s">
        <v>25</v>
      </c>
      <c r="B450" s="110">
        <v>12</v>
      </c>
      <c r="C450" s="109">
        <v>45347</v>
      </c>
      <c r="D450" s="110">
        <v>2024</v>
      </c>
      <c r="E450" s="102">
        <f t="shared" si="36"/>
        <v>776.61000000000035</v>
      </c>
      <c r="F450" s="100">
        <f t="shared" si="37"/>
        <v>764.61000000000035</v>
      </c>
      <c r="G450" s="101">
        <f t="shared" si="38"/>
        <v>5640</v>
      </c>
      <c r="H450" s="101">
        <f t="shared" si="39"/>
        <v>376</v>
      </c>
    </row>
    <row r="451" spans="1:8" ht="21" x14ac:dyDescent="0.4">
      <c r="A451" s="109" t="s">
        <v>25</v>
      </c>
      <c r="B451" s="110">
        <v>17</v>
      </c>
      <c r="C451" s="109">
        <v>45348</v>
      </c>
      <c r="D451" s="110">
        <v>2024</v>
      </c>
      <c r="E451" s="102">
        <f t="shared" si="36"/>
        <v>779.61000000000035</v>
      </c>
      <c r="F451" s="100">
        <f t="shared" si="37"/>
        <v>762.61000000000035</v>
      </c>
      <c r="G451" s="101">
        <f t="shared" si="38"/>
        <v>5655</v>
      </c>
      <c r="H451" s="101">
        <f t="shared" si="39"/>
        <v>377</v>
      </c>
    </row>
    <row r="452" spans="1:8" ht="21" x14ac:dyDescent="0.4">
      <c r="A452" s="109" t="s">
        <v>25</v>
      </c>
      <c r="B452" s="110">
        <v>9.5</v>
      </c>
      <c r="C452" s="109">
        <v>45349</v>
      </c>
      <c r="D452" s="110">
        <v>2024</v>
      </c>
      <c r="E452" s="102">
        <f t="shared" si="36"/>
        <v>777.61000000000035</v>
      </c>
      <c r="F452" s="100">
        <f t="shared" si="37"/>
        <v>768.11000000000035</v>
      </c>
      <c r="G452" s="101">
        <f t="shared" si="38"/>
        <v>5670</v>
      </c>
      <c r="H452" s="101">
        <f t="shared" si="39"/>
        <v>378</v>
      </c>
    </row>
    <row r="453" spans="1:8" ht="21" x14ac:dyDescent="0.4">
      <c r="A453" s="109" t="s">
        <v>25</v>
      </c>
      <c r="B453" s="110">
        <v>50</v>
      </c>
      <c r="C453" s="109">
        <v>45350</v>
      </c>
      <c r="D453" s="110">
        <v>2024</v>
      </c>
      <c r="E453" s="102">
        <f t="shared" si="36"/>
        <v>783.11000000000035</v>
      </c>
      <c r="F453" s="100">
        <f t="shared" si="37"/>
        <v>733.11000000000035</v>
      </c>
      <c r="G453" s="101">
        <f t="shared" si="38"/>
        <v>5685</v>
      </c>
      <c r="H453" s="101">
        <f t="shared" si="39"/>
        <v>379</v>
      </c>
    </row>
    <row r="454" spans="1:8" ht="21" x14ac:dyDescent="0.4">
      <c r="A454" s="109" t="s">
        <v>25</v>
      </c>
      <c r="B454" s="110">
        <v>10</v>
      </c>
      <c r="C454" s="109">
        <v>45351</v>
      </c>
      <c r="D454" s="110">
        <v>2024</v>
      </c>
      <c r="E454" s="102">
        <f t="shared" si="36"/>
        <v>748.11000000000035</v>
      </c>
      <c r="F454" s="100">
        <f t="shared" si="37"/>
        <v>738.11000000000035</v>
      </c>
      <c r="G454" s="101">
        <f t="shared" si="38"/>
        <v>5700</v>
      </c>
      <c r="H454" s="101">
        <f t="shared" si="39"/>
        <v>380</v>
      </c>
    </row>
    <row r="455" spans="1:8" ht="21" x14ac:dyDescent="0.4">
      <c r="A455" s="109" t="s">
        <v>25</v>
      </c>
      <c r="B455" s="110">
        <v>11</v>
      </c>
      <c r="C455" s="109">
        <v>45352</v>
      </c>
      <c r="D455" s="110">
        <v>2024</v>
      </c>
      <c r="E455" s="102">
        <f t="shared" si="36"/>
        <v>753.11000000000035</v>
      </c>
      <c r="F455" s="100">
        <f t="shared" si="37"/>
        <v>742.11000000000035</v>
      </c>
      <c r="G455" s="101">
        <f t="shared" si="38"/>
        <v>5715</v>
      </c>
      <c r="H455" s="101">
        <f t="shared" si="39"/>
        <v>381</v>
      </c>
    </row>
    <row r="456" spans="1:8" ht="21" x14ac:dyDescent="0.4">
      <c r="A456" s="109" t="s">
        <v>25</v>
      </c>
      <c r="B456" s="110">
        <v>19</v>
      </c>
      <c r="C456" s="109">
        <v>45353</v>
      </c>
      <c r="D456" s="110">
        <v>2024</v>
      </c>
      <c r="E456" s="102">
        <f t="shared" si="36"/>
        <v>757.11000000000035</v>
      </c>
      <c r="F456" s="100">
        <f t="shared" si="37"/>
        <v>738.11000000000035</v>
      </c>
      <c r="G456" s="101">
        <f t="shared" si="38"/>
        <v>5730</v>
      </c>
      <c r="H456" s="101">
        <f t="shared" si="39"/>
        <v>382</v>
      </c>
    </row>
    <row r="457" spans="1:8" ht="21" x14ac:dyDescent="0.4">
      <c r="A457" s="109" t="s">
        <v>25</v>
      </c>
      <c r="B457" s="110">
        <v>18</v>
      </c>
      <c r="C457" s="109">
        <v>45354</v>
      </c>
      <c r="D457" s="110">
        <v>2024</v>
      </c>
      <c r="E457" s="102">
        <f t="shared" si="36"/>
        <v>753.11000000000035</v>
      </c>
      <c r="F457" s="100">
        <f t="shared" si="37"/>
        <v>735.11000000000035</v>
      </c>
      <c r="G457" s="101">
        <f t="shared" si="38"/>
        <v>5745</v>
      </c>
      <c r="H457" s="101">
        <f t="shared" si="39"/>
        <v>383</v>
      </c>
    </row>
    <row r="458" spans="1:8" ht="21" x14ac:dyDescent="0.4">
      <c r="A458" s="109" t="s">
        <v>25</v>
      </c>
      <c r="B458" s="110">
        <v>9</v>
      </c>
      <c r="C458" s="109">
        <v>45355</v>
      </c>
      <c r="D458" s="110">
        <v>2024</v>
      </c>
      <c r="E458" s="102">
        <f t="shared" si="36"/>
        <v>750.11000000000035</v>
      </c>
      <c r="F458" s="100">
        <f t="shared" si="37"/>
        <v>741.11000000000035</v>
      </c>
      <c r="G458" s="101">
        <f t="shared" si="38"/>
        <v>5760</v>
      </c>
      <c r="H458" s="101">
        <f t="shared" si="39"/>
        <v>384</v>
      </c>
    </row>
    <row r="459" spans="1:8" ht="21" x14ac:dyDescent="0.4">
      <c r="A459" s="109" t="s">
        <v>25</v>
      </c>
      <c r="B459" s="110">
        <v>26</v>
      </c>
      <c r="C459" s="109">
        <v>45356</v>
      </c>
      <c r="D459" s="110">
        <v>2024</v>
      </c>
      <c r="E459" s="102">
        <f t="shared" si="36"/>
        <v>756.11000000000035</v>
      </c>
      <c r="F459" s="100">
        <f t="shared" si="37"/>
        <v>730.11000000000035</v>
      </c>
      <c r="G459" s="101">
        <f t="shared" si="38"/>
        <v>5775</v>
      </c>
      <c r="H459" s="101">
        <f t="shared" si="39"/>
        <v>385</v>
      </c>
    </row>
    <row r="460" spans="1:8" ht="21" x14ac:dyDescent="0.4">
      <c r="A460" s="109" t="s">
        <v>112</v>
      </c>
      <c r="B460" s="110">
        <v>0</v>
      </c>
      <c r="C460" s="109">
        <v>45357</v>
      </c>
      <c r="D460" s="110">
        <v>2024</v>
      </c>
      <c r="E460" s="102">
        <f t="shared" si="36"/>
        <v>745.11000000000035</v>
      </c>
      <c r="F460" s="100">
        <f t="shared" si="37"/>
        <v>745.11000000000035</v>
      </c>
      <c r="G460" s="101">
        <f t="shared" si="38"/>
        <v>5790</v>
      </c>
      <c r="H460" s="101">
        <f t="shared" si="39"/>
        <v>386</v>
      </c>
    </row>
    <row r="461" spans="1:8" ht="21" x14ac:dyDescent="0.4">
      <c r="A461" s="109" t="s">
        <v>25</v>
      </c>
      <c r="B461" s="110">
        <v>9.5</v>
      </c>
      <c r="C461" s="109">
        <v>45358</v>
      </c>
      <c r="D461" s="110">
        <v>2024</v>
      </c>
      <c r="E461" s="102">
        <f t="shared" si="36"/>
        <v>760.11000000000035</v>
      </c>
      <c r="F461" s="100">
        <f t="shared" si="37"/>
        <v>750.61000000000035</v>
      </c>
      <c r="G461" s="101">
        <f t="shared" si="38"/>
        <v>5805</v>
      </c>
      <c r="H461" s="101">
        <f t="shared" si="39"/>
        <v>387</v>
      </c>
    </row>
    <row r="462" spans="1:8" ht="21" x14ac:dyDescent="0.4">
      <c r="A462" s="109" t="s">
        <v>25</v>
      </c>
      <c r="B462" s="110">
        <v>14.5</v>
      </c>
      <c r="C462" s="109">
        <v>45359</v>
      </c>
      <c r="D462" s="110">
        <v>2024</v>
      </c>
      <c r="E462" s="102">
        <f t="shared" si="36"/>
        <v>765.61000000000035</v>
      </c>
      <c r="F462" s="100">
        <f t="shared" si="37"/>
        <v>751.11000000000035</v>
      </c>
      <c r="G462" s="101">
        <f t="shared" si="38"/>
        <v>5820</v>
      </c>
      <c r="H462" s="101">
        <f t="shared" si="39"/>
        <v>388</v>
      </c>
    </row>
    <row r="463" spans="1:8" ht="21" x14ac:dyDescent="0.4">
      <c r="A463" s="109" t="s">
        <v>25</v>
      </c>
      <c r="B463" s="110">
        <v>5</v>
      </c>
      <c r="C463" s="109">
        <v>45360</v>
      </c>
      <c r="D463" s="110">
        <v>2024</v>
      </c>
      <c r="E463" s="102">
        <f t="shared" si="36"/>
        <v>766.11000000000035</v>
      </c>
      <c r="F463" s="100">
        <f t="shared" si="37"/>
        <v>761.11000000000035</v>
      </c>
      <c r="G463" s="101">
        <f t="shared" si="38"/>
        <v>5835</v>
      </c>
      <c r="H463" s="101">
        <f t="shared" si="39"/>
        <v>389</v>
      </c>
    </row>
    <row r="464" spans="1:8" ht="21" x14ac:dyDescent="0.4">
      <c r="A464" s="109" t="s">
        <v>25</v>
      </c>
      <c r="B464" s="110">
        <v>8.5</v>
      </c>
      <c r="C464" s="109">
        <v>45361</v>
      </c>
      <c r="D464" s="110">
        <v>2024</v>
      </c>
      <c r="E464" s="102">
        <f t="shared" si="36"/>
        <v>776.11000000000035</v>
      </c>
      <c r="F464" s="100">
        <f t="shared" si="37"/>
        <v>767.61000000000035</v>
      </c>
      <c r="G464" s="101">
        <f t="shared" si="38"/>
        <v>5850</v>
      </c>
      <c r="H464" s="101">
        <f t="shared" si="39"/>
        <v>390</v>
      </c>
    </row>
    <row r="465" spans="1:8" ht="21" x14ac:dyDescent="0.4">
      <c r="A465" s="109" t="s">
        <v>112</v>
      </c>
      <c r="B465" s="110">
        <v>0</v>
      </c>
      <c r="C465" s="109">
        <v>45362</v>
      </c>
      <c r="D465" s="110">
        <v>2024</v>
      </c>
      <c r="E465" s="102">
        <f t="shared" si="36"/>
        <v>782.61000000000035</v>
      </c>
      <c r="F465" s="100">
        <f t="shared" si="37"/>
        <v>782.61000000000035</v>
      </c>
      <c r="G465" s="101">
        <f t="shared" si="38"/>
        <v>5865</v>
      </c>
      <c r="H465" s="101">
        <f t="shared" si="39"/>
        <v>391</v>
      </c>
    </row>
    <row r="466" spans="1:8" ht="21" x14ac:dyDescent="0.4">
      <c r="A466" s="109" t="s">
        <v>25</v>
      </c>
      <c r="B466" s="110">
        <v>8</v>
      </c>
      <c r="C466" s="109">
        <v>45363</v>
      </c>
      <c r="D466" s="110">
        <v>2024</v>
      </c>
      <c r="E466" s="102">
        <f t="shared" si="36"/>
        <v>797.61000000000035</v>
      </c>
      <c r="F466" s="100">
        <f t="shared" si="37"/>
        <v>789.61000000000035</v>
      </c>
      <c r="G466" s="101">
        <f t="shared" si="38"/>
        <v>5880</v>
      </c>
      <c r="H466" s="101">
        <f t="shared" si="39"/>
        <v>392</v>
      </c>
    </row>
    <row r="467" spans="1:8" ht="21" x14ac:dyDescent="0.4">
      <c r="A467" s="109" t="s">
        <v>25</v>
      </c>
      <c r="B467" s="110">
        <v>45</v>
      </c>
      <c r="C467" s="109">
        <v>45364</v>
      </c>
      <c r="D467" s="110">
        <v>2024</v>
      </c>
      <c r="E467" s="102">
        <f t="shared" si="36"/>
        <v>804.61000000000035</v>
      </c>
      <c r="F467" s="100">
        <f t="shared" si="37"/>
        <v>759.61000000000035</v>
      </c>
      <c r="G467" s="101">
        <f t="shared" si="38"/>
        <v>5895</v>
      </c>
      <c r="H467" s="101">
        <f t="shared" si="39"/>
        <v>393</v>
      </c>
    </row>
    <row r="468" spans="1:8" ht="21" x14ac:dyDescent="0.4">
      <c r="A468" s="109" t="s">
        <v>25</v>
      </c>
      <c r="B468" s="110">
        <v>15</v>
      </c>
      <c r="C468" s="109">
        <v>45365</v>
      </c>
      <c r="D468" s="110">
        <v>2024</v>
      </c>
      <c r="E468" s="102">
        <f t="shared" si="36"/>
        <v>774.61000000000035</v>
      </c>
      <c r="F468" s="100">
        <f t="shared" si="37"/>
        <v>759.61000000000035</v>
      </c>
      <c r="G468" s="101">
        <f t="shared" si="38"/>
        <v>5910</v>
      </c>
      <c r="H468" s="101">
        <f t="shared" si="39"/>
        <v>394</v>
      </c>
    </row>
    <row r="469" spans="1:8" ht="21" x14ac:dyDescent="0.4">
      <c r="A469" s="109" t="s">
        <v>25</v>
      </c>
      <c r="B469" s="110">
        <v>8.6999999999999993</v>
      </c>
      <c r="C469" s="109">
        <v>45366</v>
      </c>
      <c r="D469" s="110">
        <v>2024</v>
      </c>
      <c r="E469" s="102">
        <f t="shared" si="36"/>
        <v>774.61000000000035</v>
      </c>
      <c r="F469" s="100">
        <f t="shared" si="37"/>
        <v>765.91000000000031</v>
      </c>
      <c r="G469" s="101">
        <f t="shared" si="38"/>
        <v>5925</v>
      </c>
      <c r="H469" s="101">
        <f t="shared" si="39"/>
        <v>395</v>
      </c>
    </row>
    <row r="470" spans="1:8" ht="21" x14ac:dyDescent="0.4">
      <c r="A470" s="109" t="s">
        <v>25</v>
      </c>
      <c r="B470" s="110">
        <v>7.75</v>
      </c>
      <c r="C470" s="109">
        <v>45367</v>
      </c>
      <c r="D470" s="110">
        <v>2024</v>
      </c>
      <c r="E470" s="102">
        <f t="shared" si="36"/>
        <v>780.91000000000031</v>
      </c>
      <c r="F470" s="100">
        <f t="shared" si="37"/>
        <v>773.16000000000031</v>
      </c>
      <c r="G470" s="101">
        <f t="shared" si="38"/>
        <v>5940</v>
      </c>
      <c r="H470" s="101">
        <f t="shared" si="39"/>
        <v>396</v>
      </c>
    </row>
    <row r="471" spans="1:8" ht="21" x14ac:dyDescent="0.4">
      <c r="A471" s="109" t="s">
        <v>25</v>
      </c>
      <c r="B471" s="110">
        <v>7.7</v>
      </c>
      <c r="C471" s="109">
        <v>45368</v>
      </c>
      <c r="D471" s="110">
        <v>2024</v>
      </c>
      <c r="E471" s="102">
        <f t="shared" si="36"/>
        <v>788.16000000000031</v>
      </c>
      <c r="F471" s="100">
        <f t="shared" si="37"/>
        <v>780.46000000000026</v>
      </c>
      <c r="G471" s="101">
        <f t="shared" si="38"/>
        <v>5955</v>
      </c>
      <c r="H471" s="101">
        <f t="shared" si="39"/>
        <v>397</v>
      </c>
    </row>
    <row r="472" spans="1:8" ht="21" x14ac:dyDescent="0.4">
      <c r="A472" s="109" t="s">
        <v>25</v>
      </c>
      <c r="B472" s="110">
        <v>37</v>
      </c>
      <c r="C472" s="109">
        <v>45369</v>
      </c>
      <c r="D472" s="110">
        <v>2024</v>
      </c>
      <c r="E472" s="102">
        <f t="shared" si="36"/>
        <v>795.46000000000026</v>
      </c>
      <c r="F472" s="100">
        <f t="shared" si="37"/>
        <v>758.46000000000026</v>
      </c>
      <c r="G472" s="101">
        <f t="shared" si="38"/>
        <v>5970</v>
      </c>
      <c r="H472" s="101">
        <f t="shared" si="39"/>
        <v>398</v>
      </c>
    </row>
    <row r="473" spans="1:8" ht="21" x14ac:dyDescent="0.4">
      <c r="A473" s="109" t="s">
        <v>25</v>
      </c>
      <c r="B473" s="110">
        <v>58</v>
      </c>
      <c r="C473" s="109">
        <v>45370</v>
      </c>
      <c r="D473" s="110">
        <v>2024</v>
      </c>
      <c r="E473" s="102">
        <f t="shared" si="36"/>
        <v>773.46000000000026</v>
      </c>
      <c r="F473" s="100">
        <f t="shared" si="37"/>
        <v>715.46000000000026</v>
      </c>
      <c r="G473" s="101">
        <f t="shared" si="38"/>
        <v>5985</v>
      </c>
      <c r="H473" s="101">
        <f t="shared" si="39"/>
        <v>399</v>
      </c>
    </row>
    <row r="474" spans="1:8" ht="21" x14ac:dyDescent="0.4">
      <c r="A474" s="109" t="s">
        <v>25</v>
      </c>
      <c r="B474" s="110">
        <v>4.45</v>
      </c>
      <c r="C474" s="109">
        <v>45371</v>
      </c>
      <c r="D474" s="110">
        <v>2024</v>
      </c>
      <c r="E474" s="102">
        <f t="shared" si="36"/>
        <v>730.46000000000026</v>
      </c>
      <c r="F474" s="100">
        <f t="shared" si="37"/>
        <v>726.01000000000022</v>
      </c>
      <c r="G474" s="101">
        <f t="shared" si="38"/>
        <v>6000</v>
      </c>
      <c r="H474" s="101">
        <f t="shared" si="39"/>
        <v>400</v>
      </c>
    </row>
    <row r="475" spans="1:8" ht="21" x14ac:dyDescent="0.4">
      <c r="A475" s="109" t="s">
        <v>25</v>
      </c>
      <c r="B475" s="110">
        <v>11</v>
      </c>
      <c r="C475" s="109">
        <v>45372</v>
      </c>
      <c r="D475" s="110">
        <v>2024</v>
      </c>
      <c r="E475" s="102">
        <f t="shared" si="36"/>
        <v>741.01000000000022</v>
      </c>
      <c r="F475" s="100">
        <f t="shared" si="37"/>
        <v>730.01000000000022</v>
      </c>
      <c r="G475" s="101">
        <f t="shared" si="38"/>
        <v>6015</v>
      </c>
      <c r="H475" s="101">
        <f t="shared" si="39"/>
        <v>401</v>
      </c>
    </row>
    <row r="476" spans="1:8" ht="21" x14ac:dyDescent="0.4">
      <c r="A476" s="109" t="s">
        <v>25</v>
      </c>
      <c r="B476" s="110">
        <v>15.3</v>
      </c>
      <c r="C476" s="109">
        <v>45373</v>
      </c>
      <c r="D476" s="110">
        <v>2024</v>
      </c>
      <c r="E476" s="102">
        <f t="shared" si="36"/>
        <v>745.01000000000022</v>
      </c>
      <c r="F476" s="100">
        <f t="shared" si="37"/>
        <v>729.71000000000026</v>
      </c>
      <c r="G476" s="101">
        <f t="shared" si="38"/>
        <v>6030</v>
      </c>
      <c r="H476" s="101">
        <f t="shared" si="39"/>
        <v>402</v>
      </c>
    </row>
    <row r="477" spans="1:8" ht="21" x14ac:dyDescent="0.4">
      <c r="A477" s="109" t="s">
        <v>25</v>
      </c>
      <c r="B477" s="110">
        <v>39</v>
      </c>
      <c r="C477" s="109">
        <v>45374</v>
      </c>
      <c r="D477" s="110">
        <v>2024</v>
      </c>
      <c r="E477" s="102">
        <f t="shared" si="36"/>
        <v>744.71000000000026</v>
      </c>
      <c r="F477" s="100">
        <f t="shared" si="37"/>
        <v>705.71000000000026</v>
      </c>
      <c r="G477" s="101">
        <f t="shared" si="38"/>
        <v>6045</v>
      </c>
      <c r="H477" s="101">
        <f t="shared" si="39"/>
        <v>403</v>
      </c>
    </row>
    <row r="478" spans="1:8" ht="21" x14ac:dyDescent="0.4">
      <c r="A478" s="109" t="s">
        <v>112</v>
      </c>
      <c r="B478" s="110">
        <v>0</v>
      </c>
      <c r="C478" s="109">
        <v>45375</v>
      </c>
      <c r="D478" s="110">
        <v>2024</v>
      </c>
      <c r="E478" s="102">
        <f t="shared" si="36"/>
        <v>720.71000000000026</v>
      </c>
      <c r="F478" s="100">
        <f t="shared" si="37"/>
        <v>720.71000000000026</v>
      </c>
      <c r="G478" s="101">
        <f t="shared" si="38"/>
        <v>6060</v>
      </c>
      <c r="H478" s="101">
        <f t="shared" si="39"/>
        <v>404</v>
      </c>
    </row>
    <row r="479" spans="1:8" ht="21" x14ac:dyDescent="0.4">
      <c r="A479" s="109" t="s">
        <v>25</v>
      </c>
      <c r="B479" s="110">
        <v>47</v>
      </c>
      <c r="C479" s="109">
        <v>45376</v>
      </c>
      <c r="D479" s="110">
        <v>2024</v>
      </c>
      <c r="E479" s="102">
        <f t="shared" si="36"/>
        <v>735.71000000000026</v>
      </c>
      <c r="F479" s="100">
        <f t="shared" si="37"/>
        <v>688.71000000000026</v>
      </c>
      <c r="G479" s="101">
        <f t="shared" si="38"/>
        <v>6075</v>
      </c>
      <c r="H479" s="101">
        <f t="shared" si="39"/>
        <v>405</v>
      </c>
    </row>
    <row r="480" spans="1:8" ht="21" x14ac:dyDescent="0.4">
      <c r="A480" s="109" t="s">
        <v>112</v>
      </c>
      <c r="B480" s="110">
        <v>0</v>
      </c>
      <c r="C480" s="109">
        <v>45377</v>
      </c>
      <c r="D480" s="110">
        <v>2024</v>
      </c>
      <c r="E480" s="102">
        <f t="shared" si="36"/>
        <v>703.71000000000026</v>
      </c>
      <c r="F480" s="100">
        <f t="shared" si="37"/>
        <v>703.71000000000026</v>
      </c>
      <c r="G480" s="101">
        <f t="shared" si="38"/>
        <v>6090</v>
      </c>
      <c r="H480" s="101">
        <f t="shared" si="39"/>
        <v>406</v>
      </c>
    </row>
    <row r="481" spans="1:8" ht="21" x14ac:dyDescent="0.4">
      <c r="A481" s="109" t="s">
        <v>25</v>
      </c>
      <c r="B481" s="110">
        <v>4.45</v>
      </c>
      <c r="C481" s="109">
        <v>45378</v>
      </c>
      <c r="D481" s="110">
        <v>2024</v>
      </c>
      <c r="E481" s="102">
        <f t="shared" si="36"/>
        <v>718.71000000000026</v>
      </c>
      <c r="F481" s="100">
        <f t="shared" si="37"/>
        <v>714.26000000000022</v>
      </c>
      <c r="G481" s="101">
        <f t="shared" si="38"/>
        <v>6105</v>
      </c>
      <c r="H481" s="101">
        <f t="shared" si="39"/>
        <v>407</v>
      </c>
    </row>
    <row r="482" spans="1:8" ht="21" x14ac:dyDescent="0.4">
      <c r="A482" s="109" t="s">
        <v>25</v>
      </c>
      <c r="B482" s="110">
        <v>25</v>
      </c>
      <c r="C482" s="109">
        <v>45379</v>
      </c>
      <c r="D482" s="110">
        <v>2024</v>
      </c>
      <c r="E482" s="102">
        <f t="shared" si="36"/>
        <v>729.26000000000022</v>
      </c>
      <c r="F482" s="100">
        <f t="shared" si="37"/>
        <v>704.26000000000022</v>
      </c>
      <c r="G482" s="101">
        <f t="shared" si="38"/>
        <v>6120</v>
      </c>
      <c r="H482" s="101">
        <f t="shared" si="39"/>
        <v>408</v>
      </c>
    </row>
    <row r="483" spans="1:8" ht="21" x14ac:dyDescent="0.4">
      <c r="A483" s="109" t="s">
        <v>25</v>
      </c>
      <c r="B483" s="110">
        <v>24</v>
      </c>
      <c r="C483" s="109">
        <v>45380</v>
      </c>
      <c r="D483" s="110">
        <v>2024</v>
      </c>
      <c r="E483" s="102">
        <f t="shared" si="36"/>
        <v>719.26000000000022</v>
      </c>
      <c r="F483" s="100">
        <f t="shared" si="37"/>
        <v>695.26000000000022</v>
      </c>
      <c r="G483" s="101">
        <f t="shared" si="38"/>
        <v>6135</v>
      </c>
      <c r="H483" s="101">
        <f t="shared" si="39"/>
        <v>409</v>
      </c>
    </row>
    <row r="484" spans="1:8" ht="21" x14ac:dyDescent="0.4">
      <c r="A484" s="109" t="s">
        <v>25</v>
      </c>
      <c r="B484" s="110">
        <v>9.3000000000000007</v>
      </c>
      <c r="C484" s="109">
        <v>45381</v>
      </c>
      <c r="D484" s="110">
        <v>2024</v>
      </c>
      <c r="E484" s="102">
        <f t="shared" si="36"/>
        <v>710.26000000000022</v>
      </c>
      <c r="F484" s="100">
        <f t="shared" si="37"/>
        <v>700.96000000000026</v>
      </c>
      <c r="G484" s="101">
        <f t="shared" si="38"/>
        <v>6150</v>
      </c>
      <c r="H484" s="101">
        <f t="shared" si="39"/>
        <v>410</v>
      </c>
    </row>
    <row r="485" spans="1:8" ht="21" x14ac:dyDescent="0.4">
      <c r="A485" s="109" t="s">
        <v>25</v>
      </c>
      <c r="B485" s="110">
        <v>24.5</v>
      </c>
      <c r="C485" s="109">
        <v>45382</v>
      </c>
      <c r="D485" s="110">
        <v>2024</v>
      </c>
      <c r="E485" s="102">
        <f t="shared" si="36"/>
        <v>715.96000000000026</v>
      </c>
      <c r="F485" s="100">
        <f t="shared" si="37"/>
        <v>691.46000000000026</v>
      </c>
      <c r="G485" s="101">
        <f t="shared" si="38"/>
        <v>6165</v>
      </c>
      <c r="H485" s="101">
        <f t="shared" si="39"/>
        <v>411</v>
      </c>
    </row>
    <row r="486" spans="1:8" ht="21" x14ac:dyDescent="0.4">
      <c r="A486" s="109" t="s">
        <v>25</v>
      </c>
      <c r="B486" s="110">
        <v>10</v>
      </c>
      <c r="C486" s="109">
        <v>45383</v>
      </c>
      <c r="D486" s="110">
        <v>2024</v>
      </c>
      <c r="E486" s="102">
        <f t="shared" si="36"/>
        <v>706.46000000000026</v>
      </c>
      <c r="F486" s="100">
        <f t="shared" si="37"/>
        <v>696.46000000000026</v>
      </c>
      <c r="G486" s="101">
        <f t="shared" si="38"/>
        <v>6180</v>
      </c>
      <c r="H486" s="101">
        <f t="shared" si="39"/>
        <v>412</v>
      </c>
    </row>
    <row r="487" spans="1:8" ht="21" x14ac:dyDescent="0.4">
      <c r="A487" s="109" t="s">
        <v>25</v>
      </c>
      <c r="B487" s="110">
        <v>4.45</v>
      </c>
      <c r="C487" s="109">
        <v>45384</v>
      </c>
      <c r="D487" s="110">
        <v>2024</v>
      </c>
      <c r="E487" s="102">
        <f t="shared" si="36"/>
        <v>711.46000000000026</v>
      </c>
      <c r="F487" s="100">
        <f t="shared" si="37"/>
        <v>707.01000000000022</v>
      </c>
      <c r="G487" s="101">
        <f t="shared" si="38"/>
        <v>6195</v>
      </c>
      <c r="H487" s="101">
        <f t="shared" si="39"/>
        <v>413</v>
      </c>
    </row>
    <row r="488" spans="1:8" ht="21" x14ac:dyDescent="0.4">
      <c r="A488" s="109" t="s">
        <v>25</v>
      </c>
      <c r="B488" s="110">
        <v>32</v>
      </c>
      <c r="C488" s="109">
        <v>45385</v>
      </c>
      <c r="D488" s="110">
        <v>2024</v>
      </c>
      <c r="E488" s="102">
        <f t="shared" si="36"/>
        <v>722.01000000000022</v>
      </c>
      <c r="F488" s="100">
        <f t="shared" si="37"/>
        <v>690.01000000000022</v>
      </c>
      <c r="G488" s="101">
        <f t="shared" si="38"/>
        <v>6210</v>
      </c>
      <c r="H488" s="101">
        <f t="shared" si="39"/>
        <v>414</v>
      </c>
    </row>
    <row r="489" spans="1:8" ht="21" x14ac:dyDescent="0.4">
      <c r="A489" s="109" t="s">
        <v>25</v>
      </c>
      <c r="B489" s="110">
        <v>1</v>
      </c>
      <c r="C489" s="109">
        <v>45386</v>
      </c>
      <c r="D489" s="110">
        <v>2024</v>
      </c>
      <c r="E489" s="102">
        <f t="shared" si="36"/>
        <v>705.01000000000022</v>
      </c>
      <c r="F489" s="100">
        <f t="shared" si="37"/>
        <v>704.01000000000022</v>
      </c>
      <c r="G489" s="101">
        <f t="shared" si="38"/>
        <v>6225</v>
      </c>
      <c r="H489" s="101">
        <f t="shared" si="39"/>
        <v>415</v>
      </c>
    </row>
    <row r="490" spans="1:8" ht="21" x14ac:dyDescent="0.4">
      <c r="A490" s="109" t="s">
        <v>25</v>
      </c>
      <c r="B490" s="110">
        <v>73.75</v>
      </c>
      <c r="C490" s="109">
        <v>45387</v>
      </c>
      <c r="D490" s="110">
        <v>2024</v>
      </c>
      <c r="E490" s="102">
        <f t="shared" si="36"/>
        <v>719.01000000000022</v>
      </c>
      <c r="F490" s="100">
        <f t="shared" si="37"/>
        <v>645.26000000000022</v>
      </c>
      <c r="G490" s="101">
        <f t="shared" si="38"/>
        <v>6240</v>
      </c>
      <c r="H490" s="101">
        <f t="shared" si="39"/>
        <v>416</v>
      </c>
    </row>
    <row r="491" spans="1:8" ht="21" x14ac:dyDescent="0.4">
      <c r="A491" s="109" t="s">
        <v>25</v>
      </c>
      <c r="B491" s="110">
        <v>48</v>
      </c>
      <c r="C491" s="109">
        <v>45388</v>
      </c>
      <c r="D491" s="110">
        <v>2024</v>
      </c>
      <c r="E491" s="102">
        <f t="shared" si="36"/>
        <v>660.26000000000022</v>
      </c>
      <c r="F491" s="100">
        <f t="shared" si="37"/>
        <v>612.26000000000022</v>
      </c>
      <c r="G491" s="101">
        <f t="shared" si="38"/>
        <v>6255</v>
      </c>
      <c r="H491" s="101">
        <f t="shared" si="39"/>
        <v>417</v>
      </c>
    </row>
    <row r="492" spans="1:8" ht="21" x14ac:dyDescent="0.4">
      <c r="A492" s="109" t="s">
        <v>25</v>
      </c>
      <c r="B492" s="110">
        <v>20</v>
      </c>
      <c r="C492" s="109">
        <v>45389</v>
      </c>
      <c r="D492" s="110">
        <v>2024</v>
      </c>
      <c r="E492" s="102">
        <f t="shared" si="36"/>
        <v>627.26000000000022</v>
      </c>
      <c r="F492" s="100">
        <f t="shared" si="37"/>
        <v>607.26000000000022</v>
      </c>
      <c r="G492" s="101">
        <f t="shared" si="38"/>
        <v>6270</v>
      </c>
      <c r="H492" s="101">
        <f t="shared" si="39"/>
        <v>418</v>
      </c>
    </row>
    <row r="493" spans="1:8" ht="21" x14ac:dyDescent="0.4">
      <c r="A493" s="109" t="s">
        <v>25</v>
      </c>
      <c r="B493" s="110">
        <v>1.5</v>
      </c>
      <c r="C493" s="109">
        <v>45390</v>
      </c>
      <c r="D493" s="110">
        <v>2024</v>
      </c>
      <c r="E493" s="102">
        <f t="shared" si="36"/>
        <v>622.26000000000022</v>
      </c>
      <c r="F493" s="100">
        <f t="shared" si="37"/>
        <v>620.76000000000022</v>
      </c>
      <c r="G493" s="101">
        <f t="shared" si="38"/>
        <v>6285</v>
      </c>
      <c r="H493" s="101">
        <f t="shared" si="39"/>
        <v>419</v>
      </c>
    </row>
    <row r="494" spans="1:8" ht="21" x14ac:dyDescent="0.4">
      <c r="A494" s="109" t="s">
        <v>25</v>
      </c>
      <c r="B494" s="110">
        <v>15.3</v>
      </c>
      <c r="C494" s="109">
        <v>45391</v>
      </c>
      <c r="D494" s="110">
        <v>2024</v>
      </c>
      <c r="E494" s="102">
        <f t="shared" si="36"/>
        <v>635.76000000000022</v>
      </c>
      <c r="F494" s="100">
        <f t="shared" si="37"/>
        <v>620.46000000000026</v>
      </c>
      <c r="G494" s="101">
        <f t="shared" si="38"/>
        <v>6300</v>
      </c>
      <c r="H494" s="101">
        <f t="shared" si="39"/>
        <v>420</v>
      </c>
    </row>
    <row r="495" spans="1:8" ht="21" x14ac:dyDescent="0.4">
      <c r="A495" s="109" t="s">
        <v>25</v>
      </c>
      <c r="B495" s="110">
        <v>24.5</v>
      </c>
      <c r="C495" s="109">
        <v>45392</v>
      </c>
      <c r="D495" s="110">
        <v>2024</v>
      </c>
      <c r="E495" s="102">
        <f t="shared" si="36"/>
        <v>635.46000000000026</v>
      </c>
      <c r="F495" s="100">
        <f t="shared" si="37"/>
        <v>610.96000000000026</v>
      </c>
      <c r="G495" s="101">
        <f t="shared" si="38"/>
        <v>6315</v>
      </c>
      <c r="H495" s="101">
        <f t="shared" si="39"/>
        <v>421</v>
      </c>
    </row>
    <row r="496" spans="1:8" ht="21" x14ac:dyDescent="0.4">
      <c r="A496" s="109" t="s">
        <v>25</v>
      </c>
      <c r="B496" s="110">
        <v>27</v>
      </c>
      <c r="C496" s="109">
        <v>45393</v>
      </c>
      <c r="D496" s="110">
        <v>2024</v>
      </c>
      <c r="E496" s="102">
        <f t="shared" si="36"/>
        <v>625.96000000000026</v>
      </c>
      <c r="F496" s="100">
        <f t="shared" si="37"/>
        <v>598.96000000000026</v>
      </c>
      <c r="G496" s="101">
        <f t="shared" si="38"/>
        <v>6330</v>
      </c>
      <c r="H496" s="101">
        <f t="shared" si="39"/>
        <v>422</v>
      </c>
    </row>
    <row r="497" spans="1:8" ht="21" x14ac:dyDescent="0.4">
      <c r="A497" s="109" t="s">
        <v>25</v>
      </c>
      <c r="B497" s="110">
        <v>29</v>
      </c>
      <c r="C497" s="109">
        <v>45394</v>
      </c>
      <c r="D497" s="110">
        <v>2024</v>
      </c>
      <c r="E497" s="102">
        <f t="shared" si="36"/>
        <v>613.96000000000026</v>
      </c>
      <c r="F497" s="100">
        <f t="shared" si="37"/>
        <v>584.96000000000026</v>
      </c>
      <c r="G497" s="101">
        <f t="shared" si="38"/>
        <v>6345</v>
      </c>
      <c r="H497" s="101">
        <f t="shared" si="39"/>
        <v>423</v>
      </c>
    </row>
    <row r="498" spans="1:8" ht="21" x14ac:dyDescent="0.4">
      <c r="A498" s="109" t="s">
        <v>25</v>
      </c>
      <c r="B498" s="110">
        <v>23.5</v>
      </c>
      <c r="C498" s="109">
        <v>45395</v>
      </c>
      <c r="D498" s="110">
        <v>2024</v>
      </c>
      <c r="E498" s="102">
        <f t="shared" si="36"/>
        <v>599.96000000000026</v>
      </c>
      <c r="F498" s="100">
        <f t="shared" si="37"/>
        <v>576.46000000000026</v>
      </c>
      <c r="G498" s="101">
        <f t="shared" si="38"/>
        <v>6360</v>
      </c>
      <c r="H498" s="101">
        <f t="shared" si="39"/>
        <v>424</v>
      </c>
    </row>
    <row r="499" spans="1:8" ht="21" x14ac:dyDescent="0.4">
      <c r="A499" s="109" t="s">
        <v>25</v>
      </c>
      <c r="B499" s="110">
        <v>72</v>
      </c>
      <c r="C499" s="109">
        <v>45396</v>
      </c>
      <c r="D499" s="110">
        <v>2024</v>
      </c>
      <c r="E499" s="102">
        <f t="shared" si="36"/>
        <v>591.46000000000026</v>
      </c>
      <c r="F499" s="100">
        <f t="shared" si="37"/>
        <v>519.46000000000026</v>
      </c>
      <c r="G499" s="101">
        <f t="shared" si="38"/>
        <v>6375</v>
      </c>
      <c r="H499" s="101">
        <f t="shared" si="39"/>
        <v>425</v>
      </c>
    </row>
    <row r="500" spans="1:8" ht="21" x14ac:dyDescent="0.4">
      <c r="A500" s="109" t="s">
        <v>25</v>
      </c>
      <c r="B500" s="110">
        <v>20</v>
      </c>
      <c r="C500" s="109">
        <v>45397</v>
      </c>
      <c r="D500" s="110">
        <v>2024</v>
      </c>
      <c r="E500" s="102">
        <f t="shared" si="36"/>
        <v>534.46000000000026</v>
      </c>
      <c r="F500" s="100">
        <f t="shared" si="37"/>
        <v>514.46000000000026</v>
      </c>
      <c r="G500" s="101">
        <f t="shared" si="38"/>
        <v>6390</v>
      </c>
      <c r="H500" s="101">
        <f t="shared" si="39"/>
        <v>426</v>
      </c>
    </row>
    <row r="501" spans="1:8" ht="21" x14ac:dyDescent="0.4">
      <c r="A501" s="109" t="s">
        <v>25</v>
      </c>
      <c r="B501" s="110">
        <v>28.5</v>
      </c>
      <c r="C501" s="109">
        <v>45398</v>
      </c>
      <c r="D501" s="110">
        <v>2024</v>
      </c>
      <c r="E501" s="102">
        <f t="shared" si="36"/>
        <v>529.46000000000026</v>
      </c>
      <c r="F501" s="100">
        <f t="shared" si="37"/>
        <v>500.96000000000026</v>
      </c>
      <c r="G501" s="101">
        <f t="shared" si="38"/>
        <v>6405</v>
      </c>
      <c r="H501" s="101">
        <f t="shared" si="39"/>
        <v>427</v>
      </c>
    </row>
    <row r="502" spans="1:8" ht="21" x14ac:dyDescent="0.4">
      <c r="A502" s="109" t="s">
        <v>25</v>
      </c>
      <c r="B502" s="110">
        <v>6.5</v>
      </c>
      <c r="C502" s="109">
        <v>45399</v>
      </c>
      <c r="D502" s="110">
        <v>2024</v>
      </c>
      <c r="E502" s="102">
        <f t="shared" si="36"/>
        <v>515.96000000000026</v>
      </c>
      <c r="F502" s="100">
        <f t="shared" si="37"/>
        <v>509.46000000000026</v>
      </c>
      <c r="G502" s="101">
        <f t="shared" si="38"/>
        <v>6420</v>
      </c>
      <c r="H502" s="101">
        <f t="shared" si="39"/>
        <v>428</v>
      </c>
    </row>
    <row r="503" spans="1:8" ht="21" x14ac:dyDescent="0.4">
      <c r="A503" s="109" t="s">
        <v>25</v>
      </c>
      <c r="B503" s="110">
        <v>17</v>
      </c>
      <c r="C503" s="109">
        <v>45400</v>
      </c>
      <c r="D503" s="110">
        <v>2024</v>
      </c>
      <c r="E503" s="102">
        <f t="shared" si="36"/>
        <v>524.46000000000026</v>
      </c>
      <c r="F503" s="100">
        <f t="shared" si="37"/>
        <v>507.46000000000026</v>
      </c>
      <c r="G503" s="101">
        <f t="shared" si="38"/>
        <v>6435</v>
      </c>
      <c r="H503" s="101">
        <f t="shared" si="39"/>
        <v>429</v>
      </c>
    </row>
    <row r="504" spans="1:8" ht="21" x14ac:dyDescent="0.4">
      <c r="A504" s="109" t="s">
        <v>25</v>
      </c>
      <c r="B504" s="110">
        <v>5.5</v>
      </c>
      <c r="C504" s="109">
        <v>45401</v>
      </c>
      <c r="D504" s="110">
        <v>2024</v>
      </c>
      <c r="E504" s="102">
        <f t="shared" si="36"/>
        <v>522.46000000000026</v>
      </c>
      <c r="F504" s="100">
        <f t="shared" si="37"/>
        <v>516.96000000000026</v>
      </c>
      <c r="G504" s="101">
        <f t="shared" si="38"/>
        <v>6450</v>
      </c>
      <c r="H504" s="101">
        <f t="shared" si="39"/>
        <v>430</v>
      </c>
    </row>
    <row r="505" spans="1:8" ht="21" x14ac:dyDescent="0.4">
      <c r="A505" s="109" t="s">
        <v>25</v>
      </c>
      <c r="B505" s="110">
        <v>0</v>
      </c>
      <c r="C505" s="109">
        <v>45402</v>
      </c>
      <c r="D505" s="110">
        <v>2024</v>
      </c>
      <c r="E505" s="102">
        <f t="shared" si="36"/>
        <v>531.96000000000026</v>
      </c>
      <c r="F505" s="100">
        <f t="shared" si="37"/>
        <v>531.96000000000026</v>
      </c>
      <c r="G505" s="101">
        <f t="shared" si="38"/>
        <v>6465</v>
      </c>
      <c r="H505" s="101">
        <f t="shared" si="39"/>
        <v>431</v>
      </c>
    </row>
    <row r="506" spans="1:8" ht="21" x14ac:dyDescent="0.4">
      <c r="A506" s="109" t="s">
        <v>25</v>
      </c>
      <c r="B506" s="110">
        <v>0</v>
      </c>
      <c r="C506" s="109">
        <v>45403</v>
      </c>
      <c r="D506" s="110">
        <v>2024</v>
      </c>
      <c r="E506" s="102">
        <f t="shared" si="36"/>
        <v>546.96000000000026</v>
      </c>
      <c r="F506" s="100">
        <f t="shared" si="37"/>
        <v>546.96000000000026</v>
      </c>
      <c r="G506" s="101">
        <f t="shared" si="38"/>
        <v>6480</v>
      </c>
      <c r="H506" s="101">
        <f t="shared" si="39"/>
        <v>432</v>
      </c>
    </row>
    <row r="507" spans="1:8" ht="21" x14ac:dyDescent="0.4">
      <c r="A507" s="109" t="s">
        <v>25</v>
      </c>
      <c r="B507" s="110">
        <v>50</v>
      </c>
      <c r="C507" s="109">
        <v>45404</v>
      </c>
      <c r="D507" s="110">
        <v>2024</v>
      </c>
      <c r="E507" s="102">
        <f t="shared" si="36"/>
        <v>561.96000000000026</v>
      </c>
      <c r="F507" s="100">
        <f t="shared" si="37"/>
        <v>511.96000000000026</v>
      </c>
      <c r="G507" s="101">
        <f t="shared" si="38"/>
        <v>6495</v>
      </c>
      <c r="H507" s="101">
        <f t="shared" si="39"/>
        <v>433</v>
      </c>
    </row>
    <row r="508" spans="1:8" ht="21" x14ac:dyDescent="0.4">
      <c r="A508" s="109" t="s">
        <v>25</v>
      </c>
      <c r="B508" s="110">
        <v>7.5</v>
      </c>
      <c r="C508" s="109">
        <v>45405</v>
      </c>
      <c r="D508" s="110">
        <v>2024</v>
      </c>
      <c r="E508" s="102">
        <f t="shared" si="36"/>
        <v>526.96000000000026</v>
      </c>
      <c r="F508" s="100">
        <f t="shared" si="37"/>
        <v>519.46000000000026</v>
      </c>
      <c r="G508" s="101">
        <f t="shared" si="38"/>
        <v>6510</v>
      </c>
      <c r="H508" s="101">
        <f t="shared" si="39"/>
        <v>434</v>
      </c>
    </row>
    <row r="509" spans="1:8" ht="21" x14ac:dyDescent="0.4">
      <c r="A509" s="109" t="s">
        <v>25</v>
      </c>
      <c r="B509" s="110">
        <v>21</v>
      </c>
      <c r="C509" s="109">
        <v>45406</v>
      </c>
      <c r="D509" s="110">
        <v>2024</v>
      </c>
      <c r="E509" s="102">
        <f t="shared" si="36"/>
        <v>534.46000000000026</v>
      </c>
      <c r="F509" s="100">
        <f t="shared" si="37"/>
        <v>513.46000000000026</v>
      </c>
      <c r="G509" s="101">
        <f t="shared" si="38"/>
        <v>6525</v>
      </c>
      <c r="H509" s="101">
        <f t="shared" si="39"/>
        <v>435</v>
      </c>
    </row>
    <row r="510" spans="1:8" ht="21" x14ac:dyDescent="0.4">
      <c r="A510" s="109" t="s">
        <v>25</v>
      </c>
      <c r="B510" s="110">
        <v>4.5</v>
      </c>
      <c r="C510" s="109">
        <v>45407</v>
      </c>
      <c r="D510" s="110">
        <v>2024</v>
      </c>
      <c r="E510" s="102">
        <f t="shared" si="36"/>
        <v>528.46000000000026</v>
      </c>
      <c r="F510" s="100">
        <f t="shared" si="37"/>
        <v>523.96000000000026</v>
      </c>
      <c r="G510" s="101">
        <f t="shared" si="38"/>
        <v>6540</v>
      </c>
      <c r="H510" s="101">
        <f t="shared" si="39"/>
        <v>436</v>
      </c>
    </row>
    <row r="511" spans="1:8" ht="21" x14ac:dyDescent="0.4">
      <c r="A511" s="109" t="s">
        <v>25</v>
      </c>
      <c r="B511" s="110">
        <v>7</v>
      </c>
      <c r="C511" s="109">
        <v>45408</v>
      </c>
      <c r="D511" s="110">
        <v>2024</v>
      </c>
      <c r="E511" s="102">
        <f t="shared" ref="E511:E574" si="40">IF(C511=C510,F510,F510+15)</f>
        <v>538.96000000000026</v>
      </c>
      <c r="F511" s="100">
        <f t="shared" ref="F511:F574" si="41">E511-B511</f>
        <v>531.96000000000026</v>
      </c>
      <c r="G511" s="101">
        <f t="shared" ref="G511:G574" si="42">IF(C511&lt;&gt;C510, 15+G510,G510)</f>
        <v>6555</v>
      </c>
      <c r="H511" s="101">
        <f t="shared" ref="H511:H574" si="43">G511/15</f>
        <v>437</v>
      </c>
    </row>
    <row r="512" spans="1:8" ht="21" x14ac:dyDescent="0.4">
      <c r="A512" s="109" t="s">
        <v>25</v>
      </c>
      <c r="B512" s="110">
        <v>60</v>
      </c>
      <c r="C512" s="109">
        <v>45409</v>
      </c>
      <c r="D512" s="110">
        <v>2024</v>
      </c>
      <c r="E512" s="102">
        <f t="shared" si="40"/>
        <v>546.96000000000026</v>
      </c>
      <c r="F512" s="100">
        <f t="shared" si="41"/>
        <v>486.96000000000026</v>
      </c>
      <c r="G512" s="101">
        <f t="shared" si="42"/>
        <v>6570</v>
      </c>
      <c r="H512" s="101">
        <f t="shared" si="43"/>
        <v>438</v>
      </c>
    </row>
    <row r="513" spans="1:8" ht="21" x14ac:dyDescent="0.4">
      <c r="A513" s="109" t="s">
        <v>25</v>
      </c>
      <c r="B513" s="110">
        <v>0</v>
      </c>
      <c r="C513" s="109">
        <v>45410</v>
      </c>
      <c r="D513" s="110">
        <v>2024</v>
      </c>
      <c r="E513" s="102">
        <f t="shared" si="40"/>
        <v>501.96000000000026</v>
      </c>
      <c r="F513" s="100">
        <f t="shared" si="41"/>
        <v>501.96000000000026</v>
      </c>
      <c r="G513" s="101">
        <f t="shared" si="42"/>
        <v>6585</v>
      </c>
      <c r="H513" s="101">
        <f t="shared" si="43"/>
        <v>439</v>
      </c>
    </row>
    <row r="514" spans="1:8" ht="21" x14ac:dyDescent="0.4">
      <c r="A514" s="109" t="s">
        <v>25</v>
      </c>
      <c r="B514" s="110">
        <v>14</v>
      </c>
      <c r="C514" s="109">
        <v>45411</v>
      </c>
      <c r="D514" s="110">
        <v>2024</v>
      </c>
      <c r="E514" s="102">
        <f t="shared" si="40"/>
        <v>516.96000000000026</v>
      </c>
      <c r="F514" s="100">
        <f t="shared" si="41"/>
        <v>502.96000000000026</v>
      </c>
      <c r="G514" s="101">
        <f t="shared" si="42"/>
        <v>6600</v>
      </c>
      <c r="H514" s="101">
        <f t="shared" si="43"/>
        <v>440</v>
      </c>
    </row>
    <row r="515" spans="1:8" ht="21" x14ac:dyDescent="0.4">
      <c r="A515" s="109" t="s">
        <v>25</v>
      </c>
      <c r="B515" s="110">
        <v>10</v>
      </c>
      <c r="C515" s="109">
        <v>45412</v>
      </c>
      <c r="D515" s="110">
        <v>2024</v>
      </c>
      <c r="E515" s="102">
        <f t="shared" si="40"/>
        <v>517.96000000000026</v>
      </c>
      <c r="F515" s="100">
        <f t="shared" si="41"/>
        <v>507.96000000000026</v>
      </c>
      <c r="G515" s="101">
        <f t="shared" si="42"/>
        <v>6615</v>
      </c>
      <c r="H515" s="101">
        <f t="shared" si="43"/>
        <v>441</v>
      </c>
    </row>
    <row r="516" spans="1:8" ht="21" x14ac:dyDescent="0.4">
      <c r="A516" s="109" t="s">
        <v>25</v>
      </c>
      <c r="B516" s="110">
        <v>50</v>
      </c>
      <c r="C516" s="109">
        <v>45413</v>
      </c>
      <c r="D516" s="110">
        <v>2024</v>
      </c>
      <c r="E516" s="102">
        <f t="shared" si="40"/>
        <v>522.96000000000026</v>
      </c>
      <c r="F516" s="100">
        <f t="shared" si="41"/>
        <v>472.96000000000026</v>
      </c>
      <c r="G516" s="101">
        <f t="shared" si="42"/>
        <v>6630</v>
      </c>
      <c r="H516" s="101">
        <f t="shared" si="43"/>
        <v>442</v>
      </c>
    </row>
    <row r="517" spans="1:8" ht="21" x14ac:dyDescent="0.4">
      <c r="A517" s="109" t="s">
        <v>25</v>
      </c>
      <c r="B517" s="110">
        <v>5</v>
      </c>
      <c r="C517" s="109">
        <v>45414</v>
      </c>
      <c r="D517" s="110">
        <v>2024</v>
      </c>
      <c r="E517" s="102">
        <f t="shared" si="40"/>
        <v>487.96000000000026</v>
      </c>
      <c r="F517" s="100">
        <f t="shared" si="41"/>
        <v>482.96000000000026</v>
      </c>
      <c r="G517" s="101">
        <f t="shared" si="42"/>
        <v>6645</v>
      </c>
      <c r="H517" s="101">
        <f t="shared" si="43"/>
        <v>443</v>
      </c>
    </row>
    <row r="518" spans="1:8" ht="21" x14ac:dyDescent="0.4">
      <c r="A518" s="109" t="s">
        <v>25</v>
      </c>
      <c r="B518" s="110">
        <v>11</v>
      </c>
      <c r="C518" s="109">
        <v>45415</v>
      </c>
      <c r="D518" s="110">
        <v>2024</v>
      </c>
      <c r="E518" s="102">
        <f t="shared" si="40"/>
        <v>497.96000000000026</v>
      </c>
      <c r="F518" s="100">
        <f t="shared" si="41"/>
        <v>486.96000000000026</v>
      </c>
      <c r="G518" s="101">
        <f t="shared" si="42"/>
        <v>6660</v>
      </c>
      <c r="H518" s="101">
        <f t="shared" si="43"/>
        <v>444</v>
      </c>
    </row>
    <row r="519" spans="1:8" ht="21" x14ac:dyDescent="0.4">
      <c r="A519" s="109" t="s">
        <v>25</v>
      </c>
      <c r="B519" s="110">
        <v>11</v>
      </c>
      <c r="C519" s="109">
        <v>45416</v>
      </c>
      <c r="D519" s="110">
        <v>2024</v>
      </c>
      <c r="E519" s="102">
        <f t="shared" si="40"/>
        <v>501.96000000000026</v>
      </c>
      <c r="F519" s="100">
        <f t="shared" si="41"/>
        <v>490.96000000000026</v>
      </c>
      <c r="G519" s="101">
        <f t="shared" si="42"/>
        <v>6675</v>
      </c>
      <c r="H519" s="101">
        <f t="shared" si="43"/>
        <v>445</v>
      </c>
    </row>
    <row r="520" spans="1:8" ht="21" x14ac:dyDescent="0.4">
      <c r="A520" s="109" t="s">
        <v>25</v>
      </c>
      <c r="B520" s="110">
        <v>47.65</v>
      </c>
      <c r="C520" s="109">
        <v>45417</v>
      </c>
      <c r="D520" s="110">
        <v>2024</v>
      </c>
      <c r="E520" s="102">
        <f t="shared" si="40"/>
        <v>505.96000000000026</v>
      </c>
      <c r="F520" s="100">
        <f t="shared" si="41"/>
        <v>458.31000000000029</v>
      </c>
      <c r="G520" s="101">
        <f t="shared" si="42"/>
        <v>6690</v>
      </c>
      <c r="H520" s="101">
        <f t="shared" si="43"/>
        <v>446</v>
      </c>
    </row>
    <row r="521" spans="1:8" ht="21" x14ac:dyDescent="0.4">
      <c r="A521" s="109" t="s">
        <v>25</v>
      </c>
      <c r="B521" s="110">
        <v>26</v>
      </c>
      <c r="C521" s="109">
        <v>45418</v>
      </c>
      <c r="D521" s="110">
        <v>2024</v>
      </c>
      <c r="E521" s="102">
        <f t="shared" si="40"/>
        <v>473.31000000000029</v>
      </c>
      <c r="F521" s="100">
        <f t="shared" si="41"/>
        <v>447.31000000000029</v>
      </c>
      <c r="G521" s="101">
        <f t="shared" si="42"/>
        <v>6705</v>
      </c>
      <c r="H521" s="101">
        <f t="shared" si="43"/>
        <v>447</v>
      </c>
    </row>
    <row r="522" spans="1:8" ht="21" x14ac:dyDescent="0.4">
      <c r="A522" s="109" t="s">
        <v>25</v>
      </c>
      <c r="B522" s="110">
        <v>100</v>
      </c>
      <c r="C522" s="109">
        <v>45419</v>
      </c>
      <c r="D522" s="110">
        <v>2024</v>
      </c>
      <c r="E522" s="102">
        <f t="shared" si="40"/>
        <v>462.31000000000029</v>
      </c>
      <c r="F522" s="100">
        <f t="shared" si="41"/>
        <v>362.31000000000029</v>
      </c>
      <c r="G522" s="101">
        <f t="shared" si="42"/>
        <v>6720</v>
      </c>
      <c r="H522" s="101">
        <f t="shared" si="43"/>
        <v>448</v>
      </c>
    </row>
    <row r="523" spans="1:8" ht="21" x14ac:dyDescent="0.4">
      <c r="A523" s="109" t="s">
        <v>25</v>
      </c>
      <c r="B523" s="110">
        <v>2.5</v>
      </c>
      <c r="C523" s="109">
        <v>45420</v>
      </c>
      <c r="D523" s="110">
        <v>2024</v>
      </c>
      <c r="E523" s="102">
        <f t="shared" si="40"/>
        <v>377.31000000000029</v>
      </c>
      <c r="F523" s="100">
        <f t="shared" si="41"/>
        <v>374.81000000000029</v>
      </c>
      <c r="G523" s="101">
        <f t="shared" si="42"/>
        <v>6735</v>
      </c>
      <c r="H523" s="101">
        <f t="shared" si="43"/>
        <v>449</v>
      </c>
    </row>
    <row r="524" spans="1:8" ht="21" x14ac:dyDescent="0.4">
      <c r="A524" s="109" t="s">
        <v>25</v>
      </c>
      <c r="B524" s="110">
        <v>16.5</v>
      </c>
      <c r="C524" s="109">
        <v>45421</v>
      </c>
      <c r="D524" s="110">
        <v>2024</v>
      </c>
      <c r="E524" s="102">
        <f t="shared" si="40"/>
        <v>389.81000000000029</v>
      </c>
      <c r="F524" s="100">
        <f t="shared" si="41"/>
        <v>373.31000000000029</v>
      </c>
      <c r="G524" s="101">
        <f t="shared" si="42"/>
        <v>6750</v>
      </c>
      <c r="H524" s="101">
        <f t="shared" si="43"/>
        <v>450</v>
      </c>
    </row>
    <row r="525" spans="1:8" ht="21" x14ac:dyDescent="0.4">
      <c r="A525" s="109" t="s">
        <v>25</v>
      </c>
      <c r="B525" s="110">
        <v>27</v>
      </c>
      <c r="C525" s="109">
        <v>45422</v>
      </c>
      <c r="D525" s="110">
        <v>2024</v>
      </c>
      <c r="E525" s="102">
        <f t="shared" si="40"/>
        <v>388.31000000000029</v>
      </c>
      <c r="F525" s="100">
        <f t="shared" si="41"/>
        <v>361.31000000000029</v>
      </c>
      <c r="G525" s="101">
        <f t="shared" si="42"/>
        <v>6765</v>
      </c>
      <c r="H525" s="101">
        <f t="shared" si="43"/>
        <v>451</v>
      </c>
    </row>
    <row r="526" spans="1:8" ht="21" x14ac:dyDescent="0.4">
      <c r="A526" s="109" t="s">
        <v>25</v>
      </c>
      <c r="B526" s="110">
        <v>2.7</v>
      </c>
      <c r="C526" s="109">
        <v>45423</v>
      </c>
      <c r="D526" s="110">
        <v>2024</v>
      </c>
      <c r="E526" s="102">
        <f t="shared" si="40"/>
        <v>376.31000000000029</v>
      </c>
      <c r="F526" s="100">
        <f t="shared" si="41"/>
        <v>373.6100000000003</v>
      </c>
      <c r="G526" s="101">
        <f t="shared" si="42"/>
        <v>6780</v>
      </c>
      <c r="H526" s="101">
        <f t="shared" si="43"/>
        <v>452</v>
      </c>
    </row>
    <row r="527" spans="1:8" ht="21" x14ac:dyDescent="0.4">
      <c r="A527" s="109" t="s">
        <v>25</v>
      </c>
      <c r="B527" s="110">
        <v>18.5</v>
      </c>
      <c r="C527" s="109">
        <v>45424</v>
      </c>
      <c r="D527" s="110">
        <v>2024</v>
      </c>
      <c r="E527" s="102">
        <f t="shared" si="40"/>
        <v>388.6100000000003</v>
      </c>
      <c r="F527" s="100">
        <f t="shared" si="41"/>
        <v>370.1100000000003</v>
      </c>
      <c r="G527" s="101">
        <f t="shared" si="42"/>
        <v>6795</v>
      </c>
      <c r="H527" s="101">
        <f t="shared" si="43"/>
        <v>453</v>
      </c>
    </row>
    <row r="528" spans="1:8" ht="21" x14ac:dyDescent="0.4">
      <c r="A528" s="109" t="s">
        <v>25</v>
      </c>
      <c r="B528" s="110">
        <v>19</v>
      </c>
      <c r="C528" s="109">
        <v>45425</v>
      </c>
      <c r="D528" s="110">
        <v>2024</v>
      </c>
      <c r="E528" s="102">
        <f t="shared" si="40"/>
        <v>385.1100000000003</v>
      </c>
      <c r="F528" s="100">
        <f t="shared" si="41"/>
        <v>366.1100000000003</v>
      </c>
      <c r="G528" s="101">
        <f t="shared" si="42"/>
        <v>6810</v>
      </c>
      <c r="H528" s="101">
        <f t="shared" si="43"/>
        <v>454</v>
      </c>
    </row>
    <row r="529" spans="1:8" ht="21" x14ac:dyDescent="0.4">
      <c r="A529" s="109" t="s">
        <v>25</v>
      </c>
      <c r="B529" s="110">
        <v>18</v>
      </c>
      <c r="C529" s="109">
        <v>45426</v>
      </c>
      <c r="D529" s="110">
        <v>2024</v>
      </c>
      <c r="E529" s="102">
        <f t="shared" si="40"/>
        <v>381.1100000000003</v>
      </c>
      <c r="F529" s="100">
        <f t="shared" si="41"/>
        <v>363.1100000000003</v>
      </c>
      <c r="G529" s="101">
        <f t="shared" si="42"/>
        <v>6825</v>
      </c>
      <c r="H529" s="101">
        <f t="shared" si="43"/>
        <v>455</v>
      </c>
    </row>
    <row r="530" spans="1:8" ht="21" x14ac:dyDescent="0.4">
      <c r="A530" s="109" t="s">
        <v>25</v>
      </c>
      <c r="B530" s="110">
        <v>36</v>
      </c>
      <c r="C530" s="109">
        <v>45427</v>
      </c>
      <c r="D530" s="110">
        <v>2024</v>
      </c>
      <c r="E530" s="102">
        <f t="shared" si="40"/>
        <v>378.1100000000003</v>
      </c>
      <c r="F530" s="100">
        <f t="shared" si="41"/>
        <v>342.1100000000003</v>
      </c>
      <c r="G530" s="101">
        <f t="shared" si="42"/>
        <v>6840</v>
      </c>
      <c r="H530" s="101">
        <f t="shared" si="43"/>
        <v>456</v>
      </c>
    </row>
    <row r="531" spans="1:8" ht="21" x14ac:dyDescent="0.4">
      <c r="A531" s="109" t="s">
        <v>25</v>
      </c>
      <c r="B531" s="110">
        <v>2.7</v>
      </c>
      <c r="C531" s="109">
        <v>45428</v>
      </c>
      <c r="D531" s="110">
        <v>2024</v>
      </c>
      <c r="E531" s="102">
        <f t="shared" si="40"/>
        <v>357.1100000000003</v>
      </c>
      <c r="F531" s="100">
        <f t="shared" si="41"/>
        <v>354.41000000000031</v>
      </c>
      <c r="G531" s="101">
        <f t="shared" si="42"/>
        <v>6855</v>
      </c>
      <c r="H531" s="101">
        <f t="shared" si="43"/>
        <v>457</v>
      </c>
    </row>
    <row r="532" spans="1:8" ht="21" x14ac:dyDescent="0.4">
      <c r="A532" s="109" t="s">
        <v>25</v>
      </c>
      <c r="B532" s="110">
        <v>27</v>
      </c>
      <c r="C532" s="109">
        <v>45429</v>
      </c>
      <c r="D532" s="110">
        <v>2024</v>
      </c>
      <c r="E532" s="102">
        <f t="shared" si="40"/>
        <v>369.41000000000031</v>
      </c>
      <c r="F532" s="100">
        <f t="shared" si="41"/>
        <v>342.41000000000031</v>
      </c>
      <c r="G532" s="101">
        <f t="shared" si="42"/>
        <v>6870</v>
      </c>
      <c r="H532" s="101">
        <f t="shared" si="43"/>
        <v>458</v>
      </c>
    </row>
    <row r="533" spans="1:8" ht="21" x14ac:dyDescent="0.4">
      <c r="A533" s="111" t="s">
        <v>25</v>
      </c>
      <c r="B533" s="112">
        <v>0</v>
      </c>
      <c r="C533" s="109">
        <v>45430</v>
      </c>
      <c r="D533" s="110">
        <v>2024</v>
      </c>
      <c r="E533" s="102">
        <f t="shared" si="40"/>
        <v>357.41000000000031</v>
      </c>
      <c r="F533" s="100">
        <f t="shared" si="41"/>
        <v>357.41000000000031</v>
      </c>
      <c r="G533" s="101">
        <f t="shared" si="42"/>
        <v>6885</v>
      </c>
      <c r="H533" s="101">
        <f t="shared" si="43"/>
        <v>459</v>
      </c>
    </row>
    <row r="534" spans="1:8" ht="21" x14ac:dyDescent="0.4">
      <c r="A534" s="111" t="s">
        <v>25</v>
      </c>
      <c r="B534" s="112">
        <v>45</v>
      </c>
      <c r="C534" s="109">
        <v>45431</v>
      </c>
      <c r="D534" s="110">
        <v>2024</v>
      </c>
      <c r="E534" s="102">
        <f t="shared" si="40"/>
        <v>372.41000000000031</v>
      </c>
      <c r="F534" s="100">
        <f t="shared" si="41"/>
        <v>327.41000000000031</v>
      </c>
      <c r="G534" s="101">
        <f t="shared" si="42"/>
        <v>6900</v>
      </c>
      <c r="H534" s="101">
        <f t="shared" si="43"/>
        <v>460</v>
      </c>
    </row>
    <row r="535" spans="1:8" ht="21" x14ac:dyDescent="0.4">
      <c r="A535" s="111" t="s">
        <v>25</v>
      </c>
      <c r="B535" s="112">
        <v>17.100000000000001</v>
      </c>
      <c r="C535" s="109">
        <v>45432</v>
      </c>
      <c r="D535" s="110">
        <v>2024</v>
      </c>
      <c r="E535" s="102">
        <f t="shared" si="40"/>
        <v>342.41000000000031</v>
      </c>
      <c r="F535" s="100">
        <f t="shared" si="41"/>
        <v>325.31000000000029</v>
      </c>
      <c r="G535" s="101">
        <f t="shared" si="42"/>
        <v>6915</v>
      </c>
      <c r="H535" s="101">
        <f t="shared" si="43"/>
        <v>461</v>
      </c>
    </row>
    <row r="536" spans="1:8" ht="21" x14ac:dyDescent="0.4">
      <c r="A536" s="111" t="s">
        <v>25</v>
      </c>
      <c r="B536" s="112">
        <v>31.25</v>
      </c>
      <c r="C536" s="109">
        <v>45433</v>
      </c>
      <c r="D536" s="110">
        <v>2024</v>
      </c>
      <c r="E536" s="102">
        <f t="shared" si="40"/>
        <v>340.31000000000029</v>
      </c>
      <c r="F536" s="100">
        <f t="shared" si="41"/>
        <v>309.06000000000029</v>
      </c>
      <c r="G536" s="101">
        <f t="shared" si="42"/>
        <v>6930</v>
      </c>
      <c r="H536" s="101">
        <f t="shared" si="43"/>
        <v>462</v>
      </c>
    </row>
    <row r="537" spans="1:8" ht="21" x14ac:dyDescent="0.4">
      <c r="A537" s="111" t="s">
        <v>25</v>
      </c>
      <c r="B537" s="112">
        <v>16</v>
      </c>
      <c r="C537" s="109">
        <v>45434</v>
      </c>
      <c r="D537" s="110">
        <v>2024</v>
      </c>
      <c r="E537" s="102">
        <f t="shared" si="40"/>
        <v>324.06000000000029</v>
      </c>
      <c r="F537" s="100">
        <f t="shared" si="41"/>
        <v>308.06000000000029</v>
      </c>
      <c r="G537" s="101">
        <f t="shared" si="42"/>
        <v>6945</v>
      </c>
      <c r="H537" s="101">
        <f t="shared" si="43"/>
        <v>463</v>
      </c>
    </row>
    <row r="538" spans="1:8" ht="21" x14ac:dyDescent="0.4">
      <c r="A538" s="111" t="s">
        <v>25</v>
      </c>
      <c r="B538" s="112">
        <v>4.7</v>
      </c>
      <c r="C538" s="109">
        <v>45435</v>
      </c>
      <c r="D538" s="110">
        <v>2024</v>
      </c>
      <c r="E538" s="102">
        <f t="shared" si="40"/>
        <v>323.06000000000029</v>
      </c>
      <c r="F538" s="100">
        <f t="shared" si="41"/>
        <v>318.3600000000003</v>
      </c>
      <c r="G538" s="101">
        <f t="shared" si="42"/>
        <v>6960</v>
      </c>
      <c r="H538" s="101">
        <f t="shared" si="43"/>
        <v>464</v>
      </c>
    </row>
    <row r="539" spans="1:8" ht="21" x14ac:dyDescent="0.4">
      <c r="A539" s="111" t="s">
        <v>25</v>
      </c>
      <c r="B539" s="112">
        <v>7.5</v>
      </c>
      <c r="C539" s="109">
        <v>45436</v>
      </c>
      <c r="D539" s="110">
        <v>2024</v>
      </c>
      <c r="E539" s="102">
        <f t="shared" si="40"/>
        <v>333.3600000000003</v>
      </c>
      <c r="F539" s="100">
        <f t="shared" si="41"/>
        <v>325.8600000000003</v>
      </c>
      <c r="G539" s="101">
        <f t="shared" si="42"/>
        <v>6975</v>
      </c>
      <c r="H539" s="101">
        <f t="shared" si="43"/>
        <v>465</v>
      </c>
    </row>
    <row r="540" spans="1:8" ht="21" x14ac:dyDescent="0.4">
      <c r="A540" s="111" t="s">
        <v>25</v>
      </c>
      <c r="B540" s="112">
        <v>34</v>
      </c>
      <c r="C540" s="109">
        <v>45437</v>
      </c>
      <c r="D540" s="110">
        <v>2024</v>
      </c>
      <c r="E540" s="102">
        <f t="shared" si="40"/>
        <v>340.8600000000003</v>
      </c>
      <c r="F540" s="100">
        <f t="shared" si="41"/>
        <v>306.8600000000003</v>
      </c>
      <c r="G540" s="101">
        <f t="shared" si="42"/>
        <v>6990</v>
      </c>
      <c r="H540" s="101">
        <f t="shared" si="43"/>
        <v>466</v>
      </c>
    </row>
    <row r="541" spans="1:8" ht="21" x14ac:dyDescent="0.4">
      <c r="A541" s="111" t="s">
        <v>25</v>
      </c>
      <c r="B541" s="112">
        <v>0</v>
      </c>
      <c r="C541" s="109">
        <v>45438</v>
      </c>
      <c r="D541" s="110">
        <v>2024</v>
      </c>
      <c r="E541" s="102">
        <f t="shared" si="40"/>
        <v>321.8600000000003</v>
      </c>
      <c r="F541" s="100">
        <f t="shared" si="41"/>
        <v>321.8600000000003</v>
      </c>
      <c r="G541" s="101">
        <f t="shared" si="42"/>
        <v>7005</v>
      </c>
      <c r="H541" s="101">
        <f t="shared" si="43"/>
        <v>467</v>
      </c>
    </row>
    <row r="542" spans="1:8" ht="21" x14ac:dyDescent="0.4">
      <c r="A542" s="111" t="s">
        <v>25</v>
      </c>
      <c r="B542" s="112">
        <v>27</v>
      </c>
      <c r="C542" s="109">
        <v>45439</v>
      </c>
      <c r="D542" s="110">
        <v>2024</v>
      </c>
      <c r="E542" s="102">
        <f t="shared" si="40"/>
        <v>336.8600000000003</v>
      </c>
      <c r="F542" s="100">
        <f t="shared" si="41"/>
        <v>309.8600000000003</v>
      </c>
      <c r="G542" s="101">
        <f t="shared" si="42"/>
        <v>7020</v>
      </c>
      <c r="H542" s="101">
        <f t="shared" si="43"/>
        <v>468</v>
      </c>
    </row>
    <row r="543" spans="1:8" ht="21" x14ac:dyDescent="0.4">
      <c r="A543" s="111" t="s">
        <v>25</v>
      </c>
      <c r="B543" s="112">
        <v>28</v>
      </c>
      <c r="C543" s="109">
        <v>45440</v>
      </c>
      <c r="D543" s="110">
        <v>2024</v>
      </c>
      <c r="E543" s="102">
        <f t="shared" si="40"/>
        <v>324.8600000000003</v>
      </c>
      <c r="F543" s="100">
        <f t="shared" si="41"/>
        <v>296.8600000000003</v>
      </c>
      <c r="G543" s="101">
        <f t="shared" si="42"/>
        <v>7035</v>
      </c>
      <c r="H543" s="101">
        <f t="shared" si="43"/>
        <v>469</v>
      </c>
    </row>
    <row r="544" spans="1:8" ht="21" x14ac:dyDescent="0.4">
      <c r="A544" s="111" t="s">
        <v>25</v>
      </c>
      <c r="B544" s="112">
        <v>5.5</v>
      </c>
      <c r="C544" s="109">
        <v>45441</v>
      </c>
      <c r="D544" s="110">
        <v>2024</v>
      </c>
      <c r="E544" s="102">
        <f t="shared" si="40"/>
        <v>311.8600000000003</v>
      </c>
      <c r="F544" s="100">
        <f t="shared" si="41"/>
        <v>306.3600000000003</v>
      </c>
      <c r="G544" s="101">
        <f t="shared" si="42"/>
        <v>7050</v>
      </c>
      <c r="H544" s="101">
        <f t="shared" si="43"/>
        <v>470</v>
      </c>
    </row>
    <row r="545" spans="1:8" ht="21" x14ac:dyDescent="0.4">
      <c r="A545" s="111" t="s">
        <v>25</v>
      </c>
      <c r="B545" s="112">
        <v>35</v>
      </c>
      <c r="C545" s="109">
        <v>45442</v>
      </c>
      <c r="D545" s="110">
        <v>2024</v>
      </c>
      <c r="E545" s="102">
        <f t="shared" si="40"/>
        <v>321.3600000000003</v>
      </c>
      <c r="F545" s="100">
        <f t="shared" si="41"/>
        <v>286.3600000000003</v>
      </c>
      <c r="G545" s="101">
        <f t="shared" si="42"/>
        <v>7065</v>
      </c>
      <c r="H545" s="101">
        <f t="shared" si="43"/>
        <v>471</v>
      </c>
    </row>
    <row r="546" spans="1:8" ht="21" x14ac:dyDescent="0.4">
      <c r="A546" s="111" t="s">
        <v>25</v>
      </c>
      <c r="B546" s="112">
        <v>8.5</v>
      </c>
      <c r="C546" s="109">
        <v>45443</v>
      </c>
      <c r="D546" s="110">
        <v>2024</v>
      </c>
      <c r="E546" s="102">
        <f t="shared" si="40"/>
        <v>301.3600000000003</v>
      </c>
      <c r="F546" s="100">
        <f t="shared" si="41"/>
        <v>292.8600000000003</v>
      </c>
      <c r="G546" s="101">
        <f t="shared" si="42"/>
        <v>7080</v>
      </c>
      <c r="H546" s="101">
        <f t="shared" si="43"/>
        <v>472</v>
      </c>
    </row>
    <row r="547" spans="1:8" ht="21" x14ac:dyDescent="0.4">
      <c r="A547" s="111" t="s">
        <v>25</v>
      </c>
      <c r="B547" s="112">
        <v>0</v>
      </c>
      <c r="C547" s="109">
        <v>45444</v>
      </c>
      <c r="D547" s="110">
        <v>2024</v>
      </c>
      <c r="E547" s="102">
        <f t="shared" si="40"/>
        <v>307.8600000000003</v>
      </c>
      <c r="F547" s="100">
        <f t="shared" si="41"/>
        <v>307.8600000000003</v>
      </c>
      <c r="G547" s="101">
        <f t="shared" si="42"/>
        <v>7095</v>
      </c>
      <c r="H547" s="101">
        <f t="shared" si="43"/>
        <v>473</v>
      </c>
    </row>
    <row r="548" spans="1:8" ht="21" x14ac:dyDescent="0.4">
      <c r="A548" s="111" t="s">
        <v>25</v>
      </c>
      <c r="B548" s="112">
        <v>16.100000000000001</v>
      </c>
      <c r="C548" s="109">
        <v>45445</v>
      </c>
      <c r="D548" s="110">
        <v>2024</v>
      </c>
      <c r="E548" s="102">
        <f t="shared" si="40"/>
        <v>322.8600000000003</v>
      </c>
      <c r="F548" s="100">
        <f t="shared" si="41"/>
        <v>306.76000000000028</v>
      </c>
      <c r="G548" s="101">
        <f t="shared" si="42"/>
        <v>7110</v>
      </c>
      <c r="H548" s="101">
        <f t="shared" si="43"/>
        <v>474</v>
      </c>
    </row>
    <row r="549" spans="1:8" ht="21" x14ac:dyDescent="0.4">
      <c r="A549" s="111" t="s">
        <v>25</v>
      </c>
      <c r="B549" s="112">
        <v>32</v>
      </c>
      <c r="C549" s="109">
        <v>45446</v>
      </c>
      <c r="D549" s="110">
        <v>2024</v>
      </c>
      <c r="E549" s="102">
        <f t="shared" si="40"/>
        <v>321.76000000000028</v>
      </c>
      <c r="F549" s="100">
        <f t="shared" si="41"/>
        <v>289.76000000000028</v>
      </c>
      <c r="G549" s="101">
        <f t="shared" si="42"/>
        <v>7125</v>
      </c>
      <c r="H549" s="101">
        <f t="shared" si="43"/>
        <v>475</v>
      </c>
    </row>
    <row r="550" spans="1:8" ht="21" x14ac:dyDescent="0.4">
      <c r="A550" s="111" t="s">
        <v>25</v>
      </c>
      <c r="B550" s="112">
        <v>34</v>
      </c>
      <c r="C550" s="109">
        <v>45447</v>
      </c>
      <c r="D550" s="110">
        <v>2024</v>
      </c>
      <c r="E550" s="102">
        <f t="shared" si="40"/>
        <v>304.76000000000028</v>
      </c>
      <c r="F550" s="100">
        <f t="shared" si="41"/>
        <v>270.76000000000028</v>
      </c>
      <c r="G550" s="101">
        <f t="shared" si="42"/>
        <v>7140</v>
      </c>
      <c r="H550" s="101">
        <f t="shared" si="43"/>
        <v>476</v>
      </c>
    </row>
    <row r="551" spans="1:8" ht="21" x14ac:dyDescent="0.4">
      <c r="A551" s="111" t="s">
        <v>25</v>
      </c>
      <c r="B551" s="112">
        <v>21</v>
      </c>
      <c r="C551" s="109">
        <v>45448</v>
      </c>
      <c r="D551" s="110">
        <v>2024</v>
      </c>
      <c r="E551" s="102">
        <f t="shared" si="40"/>
        <v>285.76000000000028</v>
      </c>
      <c r="F551" s="100">
        <f t="shared" si="41"/>
        <v>264.76000000000028</v>
      </c>
      <c r="G551" s="101">
        <f t="shared" si="42"/>
        <v>7155</v>
      </c>
      <c r="H551" s="101">
        <f t="shared" si="43"/>
        <v>477</v>
      </c>
    </row>
    <row r="552" spans="1:8" ht="21" x14ac:dyDescent="0.4">
      <c r="A552" s="111" t="s">
        <v>25</v>
      </c>
      <c r="B552" s="112">
        <v>17</v>
      </c>
      <c r="C552" s="109">
        <v>45449</v>
      </c>
      <c r="D552" s="110">
        <v>2024</v>
      </c>
      <c r="E552" s="102">
        <f t="shared" si="40"/>
        <v>279.76000000000028</v>
      </c>
      <c r="F552" s="100">
        <f t="shared" si="41"/>
        <v>262.76000000000028</v>
      </c>
      <c r="G552" s="101">
        <f t="shared" si="42"/>
        <v>7170</v>
      </c>
      <c r="H552" s="101">
        <f t="shared" si="43"/>
        <v>478</v>
      </c>
    </row>
    <row r="553" spans="1:8" ht="21" x14ac:dyDescent="0.4">
      <c r="A553" s="111" t="s">
        <v>25</v>
      </c>
      <c r="B553" s="112">
        <v>6</v>
      </c>
      <c r="C553" s="109">
        <v>45450</v>
      </c>
      <c r="D553" s="110">
        <v>2024</v>
      </c>
      <c r="E553" s="102">
        <f t="shared" si="40"/>
        <v>277.76000000000028</v>
      </c>
      <c r="F553" s="100">
        <f t="shared" si="41"/>
        <v>271.76000000000028</v>
      </c>
      <c r="G553" s="101">
        <f t="shared" si="42"/>
        <v>7185</v>
      </c>
      <c r="H553" s="101">
        <f t="shared" si="43"/>
        <v>479</v>
      </c>
    </row>
    <row r="554" spans="1:8" ht="21" x14ac:dyDescent="0.4">
      <c r="A554" s="111" t="s">
        <v>25</v>
      </c>
      <c r="B554" s="112">
        <v>12.5</v>
      </c>
      <c r="C554" s="109">
        <v>45451</v>
      </c>
      <c r="D554" s="110">
        <v>2024</v>
      </c>
      <c r="E554" s="102">
        <f t="shared" si="40"/>
        <v>286.76000000000028</v>
      </c>
      <c r="F554" s="100">
        <f t="shared" si="41"/>
        <v>274.26000000000028</v>
      </c>
      <c r="G554" s="101">
        <f t="shared" si="42"/>
        <v>7200</v>
      </c>
      <c r="H554" s="101">
        <f t="shared" si="43"/>
        <v>480</v>
      </c>
    </row>
    <row r="555" spans="1:8" ht="21" x14ac:dyDescent="0.4">
      <c r="A555" s="111" t="s">
        <v>25</v>
      </c>
      <c r="B555" s="112">
        <v>12.5</v>
      </c>
      <c r="C555" s="109">
        <v>45452</v>
      </c>
      <c r="D555" s="110">
        <v>2024</v>
      </c>
      <c r="E555" s="102">
        <f t="shared" si="40"/>
        <v>289.26000000000028</v>
      </c>
      <c r="F555" s="100">
        <f t="shared" si="41"/>
        <v>276.76000000000028</v>
      </c>
      <c r="G555" s="101">
        <f t="shared" si="42"/>
        <v>7215</v>
      </c>
      <c r="H555" s="101">
        <f t="shared" si="43"/>
        <v>481</v>
      </c>
    </row>
    <row r="556" spans="1:8" ht="21" x14ac:dyDescent="0.4">
      <c r="A556" s="111" t="s">
        <v>25</v>
      </c>
      <c r="B556" s="112">
        <v>28</v>
      </c>
      <c r="C556" s="109">
        <v>45453</v>
      </c>
      <c r="D556" s="110">
        <v>2024</v>
      </c>
      <c r="E556" s="102">
        <f t="shared" si="40"/>
        <v>291.76000000000028</v>
      </c>
      <c r="F556" s="100">
        <f t="shared" si="41"/>
        <v>263.76000000000028</v>
      </c>
      <c r="G556" s="101">
        <f t="shared" si="42"/>
        <v>7230</v>
      </c>
      <c r="H556" s="101">
        <f t="shared" si="43"/>
        <v>482</v>
      </c>
    </row>
    <row r="557" spans="1:8" ht="21" x14ac:dyDescent="0.4">
      <c r="A557" s="111" t="s">
        <v>25</v>
      </c>
      <c r="B557" s="112">
        <v>37</v>
      </c>
      <c r="C557" s="109">
        <v>45454</v>
      </c>
      <c r="D557" s="110">
        <v>2024</v>
      </c>
      <c r="E557" s="102">
        <f t="shared" si="40"/>
        <v>278.76000000000028</v>
      </c>
      <c r="F557" s="100">
        <f t="shared" si="41"/>
        <v>241.76000000000028</v>
      </c>
      <c r="G557" s="101">
        <f t="shared" si="42"/>
        <v>7245</v>
      </c>
      <c r="H557" s="101">
        <f t="shared" si="43"/>
        <v>483</v>
      </c>
    </row>
    <row r="558" spans="1:8" ht="21" x14ac:dyDescent="0.4">
      <c r="A558" s="111" t="s">
        <v>25</v>
      </c>
      <c r="B558" s="112">
        <v>11</v>
      </c>
      <c r="C558" s="109">
        <v>45455</v>
      </c>
      <c r="D558" s="110">
        <v>2024</v>
      </c>
      <c r="E558" s="102">
        <f t="shared" si="40"/>
        <v>256.76000000000028</v>
      </c>
      <c r="F558" s="100">
        <f t="shared" si="41"/>
        <v>245.76000000000028</v>
      </c>
      <c r="G558" s="101">
        <f t="shared" si="42"/>
        <v>7260</v>
      </c>
      <c r="H558" s="101">
        <f t="shared" si="43"/>
        <v>484</v>
      </c>
    </row>
    <row r="559" spans="1:8" ht="21" x14ac:dyDescent="0.4">
      <c r="A559" s="111" t="s">
        <v>25</v>
      </c>
      <c r="B559" s="112">
        <v>20</v>
      </c>
      <c r="C559" s="109">
        <v>45456</v>
      </c>
      <c r="D559" s="110">
        <v>2024</v>
      </c>
      <c r="E559" s="102">
        <f t="shared" si="40"/>
        <v>260.76000000000028</v>
      </c>
      <c r="F559" s="100">
        <f t="shared" si="41"/>
        <v>240.76000000000028</v>
      </c>
      <c r="G559" s="101">
        <f t="shared" si="42"/>
        <v>7275</v>
      </c>
      <c r="H559" s="101">
        <f t="shared" si="43"/>
        <v>485</v>
      </c>
    </row>
    <row r="560" spans="1:8" ht="21" x14ac:dyDescent="0.4">
      <c r="A560" s="111" t="s">
        <v>25</v>
      </c>
      <c r="B560" s="112">
        <v>9</v>
      </c>
      <c r="C560" s="109">
        <v>45457</v>
      </c>
      <c r="D560" s="110">
        <v>2024</v>
      </c>
      <c r="E560" s="102">
        <f t="shared" si="40"/>
        <v>255.76000000000028</v>
      </c>
      <c r="F560" s="100">
        <f t="shared" si="41"/>
        <v>246.76000000000028</v>
      </c>
      <c r="G560" s="101">
        <f t="shared" si="42"/>
        <v>7290</v>
      </c>
      <c r="H560" s="101">
        <f t="shared" si="43"/>
        <v>486</v>
      </c>
    </row>
    <row r="561" spans="1:8" ht="21" x14ac:dyDescent="0.4">
      <c r="A561" s="111" t="s">
        <v>25</v>
      </c>
      <c r="B561" s="112">
        <v>8.5</v>
      </c>
      <c r="C561" s="109">
        <v>45458</v>
      </c>
      <c r="D561" s="110">
        <v>2024</v>
      </c>
      <c r="E561" s="102">
        <f t="shared" si="40"/>
        <v>261.76000000000028</v>
      </c>
      <c r="F561" s="100">
        <f t="shared" si="41"/>
        <v>253.26000000000028</v>
      </c>
      <c r="G561" s="101">
        <f t="shared" si="42"/>
        <v>7305</v>
      </c>
      <c r="H561" s="101">
        <f t="shared" si="43"/>
        <v>487</v>
      </c>
    </row>
    <row r="562" spans="1:8" ht="21" x14ac:dyDescent="0.4">
      <c r="A562" s="111" t="s">
        <v>25</v>
      </c>
      <c r="B562" s="112">
        <v>22.5</v>
      </c>
      <c r="C562" s="109">
        <v>45459</v>
      </c>
      <c r="D562" s="110">
        <v>2024</v>
      </c>
      <c r="E562" s="102">
        <f t="shared" si="40"/>
        <v>268.26000000000028</v>
      </c>
      <c r="F562" s="100">
        <f t="shared" si="41"/>
        <v>245.76000000000028</v>
      </c>
      <c r="G562" s="101">
        <f t="shared" si="42"/>
        <v>7320</v>
      </c>
      <c r="H562" s="101">
        <f t="shared" si="43"/>
        <v>488</v>
      </c>
    </row>
    <row r="563" spans="1:8" ht="21" x14ac:dyDescent="0.4">
      <c r="A563" s="111" t="s">
        <v>25</v>
      </c>
      <c r="B563" s="112">
        <v>31.5</v>
      </c>
      <c r="C563" s="109">
        <v>45460</v>
      </c>
      <c r="D563" s="110">
        <v>2024</v>
      </c>
      <c r="E563" s="102">
        <f t="shared" si="40"/>
        <v>260.76000000000028</v>
      </c>
      <c r="F563" s="100">
        <f t="shared" si="41"/>
        <v>229.26000000000028</v>
      </c>
      <c r="G563" s="101">
        <f t="shared" si="42"/>
        <v>7335</v>
      </c>
      <c r="H563" s="101">
        <f t="shared" si="43"/>
        <v>489</v>
      </c>
    </row>
    <row r="564" spans="1:8" ht="21" x14ac:dyDescent="0.4">
      <c r="A564" s="111" t="s">
        <v>25</v>
      </c>
      <c r="B564" s="112">
        <v>14.9</v>
      </c>
      <c r="C564" s="109">
        <v>45461</v>
      </c>
      <c r="D564" s="110">
        <v>2024</v>
      </c>
      <c r="E564" s="102">
        <f t="shared" si="40"/>
        <v>244.26000000000028</v>
      </c>
      <c r="F564" s="100">
        <f t="shared" si="41"/>
        <v>229.36000000000027</v>
      </c>
      <c r="G564" s="101">
        <f t="shared" si="42"/>
        <v>7350</v>
      </c>
      <c r="H564" s="101">
        <f t="shared" si="43"/>
        <v>490</v>
      </c>
    </row>
    <row r="565" spans="1:8" ht="21" x14ac:dyDescent="0.4">
      <c r="A565" s="111" t="s">
        <v>25</v>
      </c>
      <c r="B565" s="112">
        <v>10</v>
      </c>
      <c r="C565" s="109">
        <v>45462</v>
      </c>
      <c r="D565" s="110">
        <v>2024</v>
      </c>
      <c r="E565" s="102">
        <f t="shared" si="40"/>
        <v>244.36000000000027</v>
      </c>
      <c r="F565" s="100">
        <f t="shared" si="41"/>
        <v>234.36000000000027</v>
      </c>
      <c r="G565" s="101">
        <f t="shared" si="42"/>
        <v>7365</v>
      </c>
      <c r="H565" s="101">
        <f t="shared" si="43"/>
        <v>491</v>
      </c>
    </row>
    <row r="566" spans="1:8" ht="21" x14ac:dyDescent="0.4">
      <c r="A566" s="111" t="s">
        <v>25</v>
      </c>
      <c r="B566" s="112">
        <v>14.5</v>
      </c>
      <c r="C566" s="109">
        <v>45463</v>
      </c>
      <c r="D566" s="110">
        <v>2024</v>
      </c>
      <c r="E566" s="102">
        <f t="shared" si="40"/>
        <v>249.36000000000027</v>
      </c>
      <c r="F566" s="100">
        <f t="shared" si="41"/>
        <v>234.86000000000027</v>
      </c>
      <c r="G566" s="101">
        <f t="shared" si="42"/>
        <v>7380</v>
      </c>
      <c r="H566" s="101">
        <f t="shared" si="43"/>
        <v>492</v>
      </c>
    </row>
    <row r="567" spans="1:8" ht="21" x14ac:dyDescent="0.4">
      <c r="A567" s="111" t="s">
        <v>25</v>
      </c>
      <c r="B567" s="112">
        <v>17</v>
      </c>
      <c r="C567" s="109">
        <v>45464</v>
      </c>
      <c r="D567" s="110">
        <v>2024</v>
      </c>
      <c r="E567" s="102">
        <f t="shared" si="40"/>
        <v>249.86000000000027</v>
      </c>
      <c r="F567" s="100">
        <f t="shared" si="41"/>
        <v>232.86000000000027</v>
      </c>
      <c r="G567" s="101">
        <f t="shared" si="42"/>
        <v>7395</v>
      </c>
      <c r="H567" s="101">
        <f t="shared" si="43"/>
        <v>493</v>
      </c>
    </row>
    <row r="568" spans="1:8" ht="21" x14ac:dyDescent="0.4">
      <c r="A568" s="111" t="s">
        <v>25</v>
      </c>
      <c r="B568" s="112">
        <v>7</v>
      </c>
      <c r="C568" s="109">
        <v>45465</v>
      </c>
      <c r="D568" s="110">
        <v>2024</v>
      </c>
      <c r="E568" s="102">
        <f t="shared" si="40"/>
        <v>247.86000000000027</v>
      </c>
      <c r="F568" s="100">
        <f t="shared" si="41"/>
        <v>240.86000000000027</v>
      </c>
      <c r="G568" s="101">
        <f t="shared" si="42"/>
        <v>7410</v>
      </c>
      <c r="H568" s="101">
        <f t="shared" si="43"/>
        <v>494</v>
      </c>
    </row>
    <row r="569" spans="1:8" ht="21" x14ac:dyDescent="0.4">
      <c r="A569" s="111" t="s">
        <v>25</v>
      </c>
      <c r="B569" s="112">
        <v>0</v>
      </c>
      <c r="C569" s="109">
        <v>45466</v>
      </c>
      <c r="D569" s="110">
        <v>2024</v>
      </c>
      <c r="E569" s="102">
        <f t="shared" si="40"/>
        <v>255.86000000000027</v>
      </c>
      <c r="F569" s="100">
        <f t="shared" si="41"/>
        <v>255.86000000000027</v>
      </c>
      <c r="G569" s="101">
        <f t="shared" si="42"/>
        <v>7425</v>
      </c>
      <c r="H569" s="101">
        <f t="shared" si="43"/>
        <v>495</v>
      </c>
    </row>
    <row r="570" spans="1:8" ht="21" x14ac:dyDescent="0.4">
      <c r="A570" s="111" t="s">
        <v>25</v>
      </c>
      <c r="B570" s="112">
        <v>75</v>
      </c>
      <c r="C570" s="109">
        <v>45467</v>
      </c>
      <c r="D570" s="110">
        <v>2024</v>
      </c>
      <c r="E570" s="102">
        <f t="shared" si="40"/>
        <v>270.86000000000024</v>
      </c>
      <c r="F570" s="100">
        <f t="shared" si="41"/>
        <v>195.86000000000024</v>
      </c>
      <c r="G570" s="101">
        <f t="shared" si="42"/>
        <v>7440</v>
      </c>
      <c r="H570" s="101">
        <f t="shared" si="43"/>
        <v>496</v>
      </c>
    </row>
    <row r="571" spans="1:8" ht="21" x14ac:dyDescent="0.4">
      <c r="A571" s="111" t="s">
        <v>25</v>
      </c>
      <c r="B571" s="112">
        <v>0</v>
      </c>
      <c r="C571" s="109">
        <v>45468</v>
      </c>
      <c r="D571" s="110">
        <v>2024</v>
      </c>
      <c r="E571" s="102">
        <f t="shared" si="40"/>
        <v>210.86000000000024</v>
      </c>
      <c r="F571" s="100">
        <f t="shared" si="41"/>
        <v>210.86000000000024</v>
      </c>
      <c r="G571" s="101">
        <f t="shared" si="42"/>
        <v>7455</v>
      </c>
      <c r="H571" s="101">
        <f t="shared" si="43"/>
        <v>497</v>
      </c>
    </row>
    <row r="572" spans="1:8" ht="21" x14ac:dyDescent="0.4">
      <c r="A572" s="111" t="s">
        <v>25</v>
      </c>
      <c r="B572" s="112">
        <v>21.5</v>
      </c>
      <c r="C572" s="109">
        <v>45469</v>
      </c>
      <c r="D572" s="110">
        <v>2024</v>
      </c>
      <c r="E572" s="102">
        <f t="shared" si="40"/>
        <v>225.86000000000024</v>
      </c>
      <c r="F572" s="100">
        <f t="shared" si="41"/>
        <v>204.36000000000024</v>
      </c>
      <c r="G572" s="101">
        <f t="shared" si="42"/>
        <v>7470</v>
      </c>
      <c r="H572" s="101">
        <f t="shared" si="43"/>
        <v>498</v>
      </c>
    </row>
    <row r="573" spans="1:8" ht="21" x14ac:dyDescent="0.4">
      <c r="A573" s="111" t="s">
        <v>25</v>
      </c>
      <c r="B573" s="112">
        <v>7</v>
      </c>
      <c r="C573" s="109">
        <v>45470</v>
      </c>
      <c r="D573" s="110">
        <v>2024</v>
      </c>
      <c r="E573" s="102">
        <f t="shared" si="40"/>
        <v>219.36000000000024</v>
      </c>
      <c r="F573" s="100">
        <f t="shared" si="41"/>
        <v>212.36000000000024</v>
      </c>
      <c r="G573" s="101">
        <f t="shared" si="42"/>
        <v>7485</v>
      </c>
      <c r="H573" s="101">
        <f t="shared" si="43"/>
        <v>499</v>
      </c>
    </row>
    <row r="574" spans="1:8" ht="21" x14ac:dyDescent="0.4">
      <c r="A574" s="111" t="s">
        <v>25</v>
      </c>
      <c r="B574" s="112">
        <v>7</v>
      </c>
      <c r="C574" s="109">
        <v>45471</v>
      </c>
      <c r="D574" s="110">
        <v>2024</v>
      </c>
      <c r="E574" s="102">
        <f t="shared" si="40"/>
        <v>227.36000000000024</v>
      </c>
      <c r="F574" s="100">
        <f t="shared" si="41"/>
        <v>220.36000000000024</v>
      </c>
      <c r="G574" s="101">
        <f t="shared" si="42"/>
        <v>7500</v>
      </c>
      <c r="H574" s="101">
        <f t="shared" si="43"/>
        <v>500</v>
      </c>
    </row>
    <row r="575" spans="1:8" ht="21" x14ac:dyDescent="0.4">
      <c r="A575" s="111" t="s">
        <v>25</v>
      </c>
      <c r="B575" s="112">
        <v>0</v>
      </c>
      <c r="C575" s="109">
        <v>45472</v>
      </c>
      <c r="D575" s="110">
        <v>2024</v>
      </c>
      <c r="E575" s="102">
        <f t="shared" ref="E575:E579" si="44">IF(C575=C574,F574,F574+15)</f>
        <v>235.36000000000024</v>
      </c>
      <c r="F575" s="100">
        <f t="shared" ref="F575:F579" si="45">E575-B575</f>
        <v>235.36000000000024</v>
      </c>
      <c r="G575" s="101">
        <f t="shared" ref="G575:G579" si="46">IF(C575&lt;&gt;C574, 15+G574,G574)</f>
        <v>7515</v>
      </c>
      <c r="H575" s="101">
        <f t="shared" ref="H575:H579" si="47">G575/15</f>
        <v>501</v>
      </c>
    </row>
    <row r="576" spans="1:8" ht="21" x14ac:dyDescent="0.4">
      <c r="A576" s="111" t="s">
        <v>112</v>
      </c>
      <c r="B576" s="112">
        <v>0</v>
      </c>
      <c r="C576" s="109">
        <v>45473</v>
      </c>
      <c r="D576" s="110">
        <v>2024</v>
      </c>
      <c r="E576" s="102">
        <f t="shared" si="44"/>
        <v>250.36000000000024</v>
      </c>
      <c r="F576" s="100">
        <f t="shared" si="45"/>
        <v>250.36000000000024</v>
      </c>
      <c r="G576" s="101">
        <f t="shared" si="46"/>
        <v>7530</v>
      </c>
      <c r="H576" s="101">
        <f t="shared" si="47"/>
        <v>502</v>
      </c>
    </row>
    <row r="577" spans="1:8" ht="21" x14ac:dyDescent="0.4">
      <c r="A577" s="111" t="s">
        <v>25</v>
      </c>
      <c r="B577" s="112">
        <v>33</v>
      </c>
      <c r="C577" s="109">
        <v>45474</v>
      </c>
      <c r="D577" s="110">
        <v>2024</v>
      </c>
      <c r="E577" s="102">
        <f t="shared" si="44"/>
        <v>265.36000000000024</v>
      </c>
      <c r="F577" s="100">
        <f t="shared" si="45"/>
        <v>232.36000000000024</v>
      </c>
      <c r="G577" s="101">
        <f t="shared" si="46"/>
        <v>7545</v>
      </c>
      <c r="H577" s="101">
        <f t="shared" si="47"/>
        <v>503</v>
      </c>
    </row>
    <row r="578" spans="1:8" ht="21" x14ac:dyDescent="0.4">
      <c r="A578" s="111" t="s">
        <v>25</v>
      </c>
      <c r="B578" s="112">
        <v>7</v>
      </c>
      <c r="C578" s="109">
        <v>45475</v>
      </c>
      <c r="D578" s="110">
        <v>2024</v>
      </c>
      <c r="E578" s="102">
        <f t="shared" si="44"/>
        <v>247.36000000000024</v>
      </c>
      <c r="F578" s="100">
        <f t="shared" si="45"/>
        <v>240.36000000000024</v>
      </c>
      <c r="G578" s="101">
        <f t="shared" si="46"/>
        <v>7560</v>
      </c>
      <c r="H578" s="101">
        <f t="shared" si="47"/>
        <v>504</v>
      </c>
    </row>
    <row r="579" spans="1:8" ht="21" x14ac:dyDescent="0.4">
      <c r="A579" s="111" t="s">
        <v>25</v>
      </c>
      <c r="B579" s="112">
        <v>90</v>
      </c>
      <c r="C579" s="109">
        <v>45476</v>
      </c>
      <c r="D579" s="110">
        <v>2024</v>
      </c>
      <c r="E579" s="102">
        <f t="shared" si="44"/>
        <v>255.36000000000024</v>
      </c>
      <c r="F579" s="100">
        <f t="shared" si="45"/>
        <v>165.36000000000024</v>
      </c>
      <c r="G579" s="101">
        <f t="shared" si="46"/>
        <v>7575</v>
      </c>
      <c r="H579" s="101">
        <f t="shared" si="47"/>
        <v>505</v>
      </c>
    </row>
    <row r="580" spans="1:8" ht="21" x14ac:dyDescent="0.4">
      <c r="A580" s="111" t="s">
        <v>25</v>
      </c>
      <c r="B580" s="112">
        <v>15</v>
      </c>
      <c r="C580" s="109">
        <v>45477</v>
      </c>
      <c r="D580" s="110">
        <v>2024</v>
      </c>
      <c r="E580" s="102">
        <f t="shared" ref="E580:E581" si="48">IF(C580=C579,F579,F579+15)</f>
        <v>180.36000000000024</v>
      </c>
      <c r="F580" s="100">
        <f t="shared" ref="F580:F581" si="49">E580-B580</f>
        <v>165.36000000000024</v>
      </c>
      <c r="G580" s="101">
        <f t="shared" ref="G580:G581" si="50">IF(C580&lt;&gt;C579, 15+G579,G579)</f>
        <v>7590</v>
      </c>
      <c r="H580" s="101">
        <f t="shared" ref="H580:H581" si="51">G580/15</f>
        <v>506</v>
      </c>
    </row>
    <row r="581" spans="1:8" ht="21" x14ac:dyDescent="0.4">
      <c r="A581" s="111" t="s">
        <v>112</v>
      </c>
      <c r="B581" s="112">
        <v>0</v>
      </c>
      <c r="C581" s="109">
        <v>45478</v>
      </c>
      <c r="D581" s="110">
        <v>2024</v>
      </c>
      <c r="E581" s="102">
        <f t="shared" si="48"/>
        <v>180.36000000000024</v>
      </c>
      <c r="F581" s="100">
        <f t="shared" si="49"/>
        <v>180.36000000000024</v>
      </c>
      <c r="G581" s="101">
        <f t="shared" si="50"/>
        <v>7605</v>
      </c>
      <c r="H581" s="101">
        <f t="shared" si="51"/>
        <v>507</v>
      </c>
    </row>
    <row r="582" spans="1:8" ht="21" x14ac:dyDescent="0.4">
      <c r="A582" s="111" t="s">
        <v>112</v>
      </c>
      <c r="B582" s="112">
        <v>0</v>
      </c>
      <c r="C582" s="109">
        <v>45479</v>
      </c>
      <c r="D582" s="110">
        <v>2024</v>
      </c>
      <c r="E582" s="102">
        <f t="shared" ref="E582:E583" si="52">IF(C582=C581,F581,F581+15)</f>
        <v>195.36000000000024</v>
      </c>
      <c r="F582" s="100">
        <f t="shared" ref="F582:F583" si="53">E582-B582</f>
        <v>195.36000000000024</v>
      </c>
      <c r="G582" s="101">
        <f t="shared" ref="G582:G583" si="54">IF(C582&lt;&gt;C581, 15+G581,G581)</f>
        <v>7620</v>
      </c>
      <c r="H582" s="101">
        <f t="shared" ref="H582:H583" si="55">G582/15</f>
        <v>508</v>
      </c>
    </row>
    <row r="583" spans="1:8" ht="21" x14ac:dyDescent="0.4">
      <c r="A583" s="111" t="s">
        <v>25</v>
      </c>
      <c r="B583" s="112">
        <v>6.5</v>
      </c>
      <c r="C583" s="109">
        <v>45480</v>
      </c>
      <c r="D583" s="110">
        <v>2024</v>
      </c>
      <c r="E583" s="102">
        <f t="shared" si="52"/>
        <v>210.36000000000024</v>
      </c>
      <c r="F583" s="100">
        <f t="shared" si="53"/>
        <v>203.86000000000024</v>
      </c>
      <c r="G583" s="101">
        <f t="shared" si="54"/>
        <v>7635</v>
      </c>
      <c r="H583" s="101">
        <f t="shared" si="55"/>
        <v>509</v>
      </c>
    </row>
    <row r="584" spans="1:8" ht="21" x14ac:dyDescent="0.4">
      <c r="A584" s="111" t="s">
        <v>25</v>
      </c>
      <c r="B584" s="112">
        <v>6.7</v>
      </c>
      <c r="C584" s="109">
        <v>45481</v>
      </c>
      <c r="D584" s="110">
        <v>2024</v>
      </c>
      <c r="E584" s="102">
        <f t="shared" ref="E584:E585" si="56">IF(C584=C583,F583,F583+15)</f>
        <v>218.86000000000024</v>
      </c>
      <c r="F584" s="100">
        <f t="shared" ref="F584:F585" si="57">E584-B584</f>
        <v>212.16000000000025</v>
      </c>
      <c r="G584" s="101">
        <f t="shared" ref="G584:G585" si="58">IF(C584&lt;&gt;C583, 15+G583,G583)</f>
        <v>7650</v>
      </c>
      <c r="H584" s="101">
        <f t="shared" ref="H584:H585" si="59">G584/15</f>
        <v>510</v>
      </c>
    </row>
    <row r="585" spans="1:8" ht="21" x14ac:dyDescent="0.4">
      <c r="A585" s="111" t="s">
        <v>25</v>
      </c>
      <c r="B585" s="112">
        <v>8.1999999999999993</v>
      </c>
      <c r="C585" s="109">
        <v>45482</v>
      </c>
      <c r="D585" s="110">
        <v>2024</v>
      </c>
      <c r="E585" s="102">
        <f t="shared" si="56"/>
        <v>227.16000000000025</v>
      </c>
      <c r="F585" s="100">
        <f t="shared" si="57"/>
        <v>218.96000000000026</v>
      </c>
      <c r="G585" s="101">
        <f t="shared" si="58"/>
        <v>7665</v>
      </c>
      <c r="H585" s="101">
        <f t="shared" si="59"/>
        <v>511</v>
      </c>
    </row>
    <row r="586" spans="1:8" ht="21" x14ac:dyDescent="0.4">
      <c r="A586" s="111" t="s">
        <v>112</v>
      </c>
      <c r="B586" s="112">
        <v>0</v>
      </c>
      <c r="C586" s="109">
        <v>45483</v>
      </c>
      <c r="D586" s="110">
        <v>2024</v>
      </c>
      <c r="E586" s="102">
        <f t="shared" ref="E586:E588" si="60">IF(C586=C585,F585,F585+15)</f>
        <v>233.96000000000026</v>
      </c>
      <c r="F586" s="100">
        <f t="shared" ref="F586:F588" si="61">E586-B586</f>
        <v>233.96000000000026</v>
      </c>
      <c r="G586" s="101">
        <f t="shared" ref="G586:G588" si="62">IF(C586&lt;&gt;C585, 15+G585,G585)</f>
        <v>7680</v>
      </c>
      <c r="H586" s="101">
        <f t="shared" ref="H586:H588" si="63">G586/15</f>
        <v>512</v>
      </c>
    </row>
    <row r="587" spans="1:8" ht="21" x14ac:dyDescent="0.4">
      <c r="A587" s="111" t="s">
        <v>25</v>
      </c>
      <c r="B587" s="112">
        <v>55</v>
      </c>
      <c r="C587" s="109">
        <v>45484</v>
      </c>
      <c r="D587" s="110">
        <v>2024</v>
      </c>
      <c r="E587" s="102">
        <f t="shared" si="60"/>
        <v>248.96000000000026</v>
      </c>
      <c r="F587" s="100">
        <f t="shared" si="61"/>
        <v>193.96000000000026</v>
      </c>
      <c r="G587" s="101">
        <f t="shared" si="62"/>
        <v>7695</v>
      </c>
      <c r="H587" s="101">
        <f t="shared" si="63"/>
        <v>513</v>
      </c>
    </row>
    <row r="588" spans="1:8" ht="21" x14ac:dyDescent="0.4">
      <c r="A588" s="111" t="s">
        <v>25</v>
      </c>
      <c r="B588" s="112">
        <v>25</v>
      </c>
      <c r="C588" s="109">
        <v>45485</v>
      </c>
      <c r="D588" s="110">
        <v>2024</v>
      </c>
      <c r="E588" s="102">
        <f t="shared" si="60"/>
        <v>208.96000000000026</v>
      </c>
      <c r="F588" s="100">
        <f t="shared" si="61"/>
        <v>183.96000000000026</v>
      </c>
      <c r="G588" s="101">
        <f t="shared" si="62"/>
        <v>7710</v>
      </c>
      <c r="H588" s="101">
        <f t="shared" si="63"/>
        <v>514</v>
      </c>
    </row>
    <row r="589" spans="1:8" ht="21" x14ac:dyDescent="0.4">
      <c r="A589" s="111" t="s">
        <v>112</v>
      </c>
      <c r="B589" s="112">
        <v>0</v>
      </c>
      <c r="C589" s="109">
        <v>45486</v>
      </c>
      <c r="D589" s="110">
        <v>2024</v>
      </c>
      <c r="E589" s="102">
        <f t="shared" ref="E589:E591" si="64">IF(C589=C588,F588,F588+15)</f>
        <v>198.96000000000026</v>
      </c>
      <c r="F589" s="100">
        <f t="shared" ref="F589:F591" si="65">E589-B589</f>
        <v>198.96000000000026</v>
      </c>
      <c r="G589" s="101">
        <f t="shared" ref="G589:G591" si="66">IF(C589&lt;&gt;C588, 15+G588,G588)</f>
        <v>7725</v>
      </c>
      <c r="H589" s="101">
        <f t="shared" ref="H589:H591" si="67">G589/15</f>
        <v>515</v>
      </c>
    </row>
    <row r="590" spans="1:8" ht="21" x14ac:dyDescent="0.4">
      <c r="A590" s="111" t="s">
        <v>25</v>
      </c>
      <c r="B590" s="112">
        <v>86.5</v>
      </c>
      <c r="C590" s="109">
        <v>45487</v>
      </c>
      <c r="D590" s="110">
        <v>2024</v>
      </c>
      <c r="E590" s="102">
        <f t="shared" si="64"/>
        <v>213.96000000000026</v>
      </c>
      <c r="F590" s="100">
        <f t="shared" si="65"/>
        <v>127.46000000000026</v>
      </c>
      <c r="G590" s="101">
        <f t="shared" si="66"/>
        <v>7740</v>
      </c>
      <c r="H590" s="101">
        <f t="shared" si="67"/>
        <v>516</v>
      </c>
    </row>
    <row r="591" spans="1:8" ht="21" x14ac:dyDescent="0.4">
      <c r="A591" s="111" t="s">
        <v>25</v>
      </c>
      <c r="B591" s="112">
        <v>6.5</v>
      </c>
      <c r="C591" s="109">
        <v>45488</v>
      </c>
      <c r="D591" s="110">
        <v>2024</v>
      </c>
      <c r="E591" s="102">
        <f t="shared" si="64"/>
        <v>142.46000000000026</v>
      </c>
      <c r="F591" s="100">
        <f t="shared" si="65"/>
        <v>135.96000000000026</v>
      </c>
      <c r="G591" s="101">
        <f t="shared" si="66"/>
        <v>7755</v>
      </c>
      <c r="H591" s="101">
        <f t="shared" si="67"/>
        <v>517</v>
      </c>
    </row>
    <row r="592" spans="1:8" ht="21" x14ac:dyDescent="0.4">
      <c r="A592" s="111" t="s">
        <v>25</v>
      </c>
      <c r="B592" s="112">
        <v>6.5</v>
      </c>
      <c r="C592" s="109">
        <v>45489</v>
      </c>
      <c r="D592" s="110">
        <v>2024</v>
      </c>
      <c r="E592" s="102">
        <f t="shared" ref="E592:E593" si="68">IF(C592=C591,F591,F591+15)</f>
        <v>150.96000000000026</v>
      </c>
      <c r="F592" s="100">
        <f t="shared" ref="F592:F593" si="69">E592-B592</f>
        <v>144.46000000000026</v>
      </c>
      <c r="G592" s="101">
        <f t="shared" ref="G592:G593" si="70">IF(C592&lt;&gt;C591, 15+G591,G591)</f>
        <v>7770</v>
      </c>
      <c r="H592" s="101">
        <f t="shared" ref="H592:H593" si="71">G592/15</f>
        <v>518</v>
      </c>
    </row>
    <row r="593" spans="1:8" ht="21" x14ac:dyDescent="0.4">
      <c r="A593" s="111" t="s">
        <v>25</v>
      </c>
      <c r="B593" s="112">
        <v>9</v>
      </c>
      <c r="C593" s="109">
        <v>45490</v>
      </c>
      <c r="D593" s="110">
        <v>2024</v>
      </c>
      <c r="E593" s="102">
        <f t="shared" si="68"/>
        <v>159.46000000000026</v>
      </c>
      <c r="F593" s="100">
        <f t="shared" si="69"/>
        <v>150.46000000000026</v>
      </c>
      <c r="G593" s="101">
        <f t="shared" si="70"/>
        <v>7785</v>
      </c>
      <c r="H593" s="101">
        <f t="shared" si="71"/>
        <v>519</v>
      </c>
    </row>
    <row r="594" spans="1:8" ht="21" x14ac:dyDescent="0.4">
      <c r="A594" s="111" t="s">
        <v>25</v>
      </c>
      <c r="B594" s="112">
        <v>18</v>
      </c>
      <c r="C594" s="109">
        <v>45491</v>
      </c>
      <c r="D594" s="110">
        <v>2024</v>
      </c>
      <c r="E594" s="102">
        <f t="shared" ref="E594:E595" si="72">IF(C594=C593,F593,F593+15)</f>
        <v>165.46000000000026</v>
      </c>
      <c r="F594" s="100">
        <f t="shared" ref="F594:F595" si="73">E594-B594</f>
        <v>147.46000000000026</v>
      </c>
      <c r="G594" s="101">
        <f t="shared" ref="G594:G595" si="74">IF(C594&lt;&gt;C593, 15+G593,G593)</f>
        <v>7800</v>
      </c>
      <c r="H594" s="101">
        <f t="shared" ref="H594:H595" si="75">G594/15</f>
        <v>520</v>
      </c>
    </row>
    <row r="595" spans="1:8" ht="21" x14ac:dyDescent="0.4">
      <c r="A595" s="111" t="s">
        <v>112</v>
      </c>
      <c r="B595" s="112">
        <v>0</v>
      </c>
      <c r="C595" s="109">
        <v>45492</v>
      </c>
      <c r="D595" s="110">
        <v>2024</v>
      </c>
      <c r="E595" s="102">
        <f t="shared" si="72"/>
        <v>162.46000000000026</v>
      </c>
      <c r="F595" s="100">
        <f t="shared" si="73"/>
        <v>162.46000000000026</v>
      </c>
      <c r="G595" s="101">
        <f t="shared" si="74"/>
        <v>7815</v>
      </c>
      <c r="H595" s="101">
        <f t="shared" si="75"/>
        <v>521</v>
      </c>
    </row>
    <row r="596" spans="1:8" ht="21" x14ac:dyDescent="0.4">
      <c r="A596" s="111" t="s">
        <v>25</v>
      </c>
      <c r="B596" s="112">
        <v>8.1999999999999993</v>
      </c>
      <c r="C596" s="109">
        <v>45493</v>
      </c>
      <c r="D596" s="110">
        <v>2024</v>
      </c>
      <c r="E596" s="102">
        <f t="shared" ref="E596:E597" si="76">IF(C596=C595,F595,F595+15)</f>
        <v>177.46000000000026</v>
      </c>
      <c r="F596" s="100">
        <f t="shared" ref="F596:F597" si="77">E596-B596</f>
        <v>169.26000000000028</v>
      </c>
      <c r="G596" s="101">
        <f t="shared" ref="G596:G597" si="78">IF(C596&lt;&gt;C595, 15+G595,G595)</f>
        <v>7830</v>
      </c>
      <c r="H596" s="101">
        <f t="shared" ref="H596:H597" si="79">G596/15</f>
        <v>522</v>
      </c>
    </row>
    <row r="597" spans="1:8" ht="21" x14ac:dyDescent="0.4">
      <c r="A597" s="111" t="s">
        <v>25</v>
      </c>
      <c r="B597" s="112">
        <v>43</v>
      </c>
      <c r="C597" s="109">
        <v>45494</v>
      </c>
      <c r="D597" s="110">
        <v>2024</v>
      </c>
      <c r="E597" s="102">
        <f t="shared" si="76"/>
        <v>184.26000000000028</v>
      </c>
      <c r="F597" s="100">
        <f t="shared" si="77"/>
        <v>141.26000000000028</v>
      </c>
      <c r="G597" s="101">
        <f t="shared" si="78"/>
        <v>7845</v>
      </c>
      <c r="H597" s="101">
        <f t="shared" si="79"/>
        <v>523</v>
      </c>
    </row>
    <row r="598" spans="1:8" ht="21" x14ac:dyDescent="0.4">
      <c r="A598" s="111" t="s">
        <v>25</v>
      </c>
      <c r="B598" s="112">
        <v>1.5</v>
      </c>
      <c r="C598" s="109">
        <v>45495</v>
      </c>
      <c r="D598" s="110">
        <v>2024</v>
      </c>
      <c r="E598" s="102">
        <f t="shared" ref="E598:E599" si="80">IF(C598=C597,F597,F597+15)</f>
        <v>156.26000000000028</v>
      </c>
      <c r="F598" s="100">
        <f t="shared" ref="F598:F599" si="81">E598-B598</f>
        <v>154.76000000000028</v>
      </c>
      <c r="G598" s="101">
        <f t="shared" ref="G598:G599" si="82">IF(C598&lt;&gt;C597, 15+G597,G597)</f>
        <v>7860</v>
      </c>
      <c r="H598" s="101">
        <f t="shared" ref="H598:H599" si="83">G598/15</f>
        <v>524</v>
      </c>
    </row>
    <row r="599" spans="1:8" ht="21" x14ac:dyDescent="0.4">
      <c r="A599" s="111" t="s">
        <v>25</v>
      </c>
      <c r="B599" s="112">
        <v>20</v>
      </c>
      <c r="C599" s="109">
        <v>45496</v>
      </c>
      <c r="D599" s="110">
        <v>2024</v>
      </c>
      <c r="E599" s="102">
        <f t="shared" si="80"/>
        <v>169.76000000000028</v>
      </c>
      <c r="F599" s="100">
        <f t="shared" si="81"/>
        <v>149.76000000000028</v>
      </c>
      <c r="G599" s="101">
        <f t="shared" si="82"/>
        <v>7875</v>
      </c>
      <c r="H599" s="101">
        <f t="shared" si="83"/>
        <v>525</v>
      </c>
    </row>
    <row r="600" spans="1:8" ht="21" x14ac:dyDescent="0.4">
      <c r="A600" s="111" t="s">
        <v>25</v>
      </c>
      <c r="B600" s="112">
        <v>1.5</v>
      </c>
      <c r="C600" s="109">
        <v>45497</v>
      </c>
      <c r="D600" s="110">
        <v>2024</v>
      </c>
      <c r="E600" s="102">
        <f t="shared" ref="E600:E601" si="84">IF(C600=C599,F599,F599+15)</f>
        <v>164.76000000000028</v>
      </c>
      <c r="F600" s="100">
        <f t="shared" ref="F600:F601" si="85">E600-B600</f>
        <v>163.26000000000028</v>
      </c>
      <c r="G600" s="101">
        <f t="shared" ref="G600:G601" si="86">IF(C600&lt;&gt;C599, 15+G599,G599)</f>
        <v>7890</v>
      </c>
      <c r="H600" s="101">
        <f t="shared" ref="H600:H601" si="87">G600/15</f>
        <v>526</v>
      </c>
    </row>
    <row r="601" spans="1:8" ht="21" x14ac:dyDescent="0.4">
      <c r="A601" s="111" t="s">
        <v>25</v>
      </c>
      <c r="B601" s="112">
        <v>9.5</v>
      </c>
      <c r="C601" s="109">
        <v>45498</v>
      </c>
      <c r="D601" s="110">
        <v>2024</v>
      </c>
      <c r="E601" s="102">
        <f t="shared" si="84"/>
        <v>178.26000000000028</v>
      </c>
      <c r="F601" s="100">
        <f t="shared" si="85"/>
        <v>168.76000000000028</v>
      </c>
      <c r="G601" s="101">
        <f t="shared" si="86"/>
        <v>7905</v>
      </c>
      <c r="H601" s="101">
        <f t="shared" si="87"/>
        <v>527</v>
      </c>
    </row>
    <row r="602" spans="1:8" ht="21" x14ac:dyDescent="0.4">
      <c r="A602" s="111" t="s">
        <v>25</v>
      </c>
      <c r="B602" s="112">
        <v>6.5</v>
      </c>
      <c r="C602" s="109">
        <v>45499</v>
      </c>
      <c r="D602" s="110">
        <v>2024</v>
      </c>
      <c r="E602" s="102">
        <f t="shared" ref="E602:E603" si="88">IF(C602=C601,F601,F601+15)</f>
        <v>183.76000000000028</v>
      </c>
      <c r="F602" s="100">
        <f t="shared" ref="F602:F603" si="89">E602-B602</f>
        <v>177.26000000000028</v>
      </c>
      <c r="G602" s="101">
        <f t="shared" ref="G602:G603" si="90">IF(C602&lt;&gt;C601, 15+G601,G601)</f>
        <v>7920</v>
      </c>
      <c r="H602" s="101">
        <f t="shared" ref="H602:H603" si="91">G602/15</f>
        <v>528</v>
      </c>
    </row>
    <row r="603" spans="1:8" ht="21" x14ac:dyDescent="0.4">
      <c r="A603" s="111" t="s">
        <v>25</v>
      </c>
      <c r="B603" s="112">
        <v>6.5</v>
      </c>
      <c r="C603" s="109">
        <v>45500</v>
      </c>
      <c r="D603" s="110">
        <v>2024</v>
      </c>
      <c r="E603" s="102">
        <f t="shared" si="88"/>
        <v>192.26000000000028</v>
      </c>
      <c r="F603" s="100">
        <f t="shared" si="89"/>
        <v>185.76000000000028</v>
      </c>
      <c r="G603" s="101">
        <f t="shared" si="90"/>
        <v>7935</v>
      </c>
      <c r="H603" s="101">
        <f t="shared" si="91"/>
        <v>529</v>
      </c>
    </row>
    <row r="604" spans="1:8" ht="21" x14ac:dyDescent="0.4">
      <c r="A604" s="111" t="s">
        <v>25</v>
      </c>
      <c r="B604" s="112">
        <v>8</v>
      </c>
      <c r="C604" s="111">
        <v>45501</v>
      </c>
      <c r="D604" s="110">
        <v>2024</v>
      </c>
      <c r="E604" s="102">
        <f t="shared" ref="E604:E605" si="92">IF(C604=C603,F603,F603+15)</f>
        <v>200.76000000000028</v>
      </c>
      <c r="F604" s="100">
        <f t="shared" ref="F604:F605" si="93">E604-B604</f>
        <v>192.76000000000028</v>
      </c>
      <c r="G604" s="101">
        <f t="shared" ref="G604:G605" si="94">IF(C604&lt;&gt;C603, 15+G603,G603)</f>
        <v>7950</v>
      </c>
      <c r="H604" s="101">
        <f t="shared" ref="H604:H605" si="95">G604/15</f>
        <v>530</v>
      </c>
    </row>
    <row r="605" spans="1:8" ht="21" x14ac:dyDescent="0.4">
      <c r="A605" s="111" t="s">
        <v>25</v>
      </c>
      <c r="B605" s="112">
        <v>30</v>
      </c>
      <c r="C605" s="109">
        <v>45502</v>
      </c>
      <c r="D605" s="110">
        <v>2024</v>
      </c>
      <c r="E605" s="102">
        <f t="shared" si="92"/>
        <v>207.76000000000028</v>
      </c>
      <c r="F605" s="100">
        <f t="shared" si="93"/>
        <v>177.76000000000028</v>
      </c>
      <c r="G605" s="101">
        <f t="shared" si="94"/>
        <v>7965</v>
      </c>
      <c r="H605" s="101">
        <f t="shared" si="95"/>
        <v>531</v>
      </c>
    </row>
    <row r="606" spans="1:8" ht="21" x14ac:dyDescent="0.4">
      <c r="A606" s="111" t="s">
        <v>25</v>
      </c>
      <c r="B606" s="112">
        <v>55</v>
      </c>
      <c r="C606" s="111">
        <v>45503</v>
      </c>
      <c r="D606" s="110">
        <v>2024</v>
      </c>
      <c r="E606" s="102">
        <f t="shared" ref="E606:E607" si="96">IF(C606=C605,F605,F605+15)</f>
        <v>192.76000000000028</v>
      </c>
      <c r="F606" s="100">
        <f t="shared" ref="F606:F607" si="97">E606-B606</f>
        <v>137.76000000000028</v>
      </c>
      <c r="G606" s="101">
        <f t="shared" ref="G606:G607" si="98">IF(C606&lt;&gt;C605, 15+G605,G605)</f>
        <v>7980</v>
      </c>
      <c r="H606" s="101">
        <f t="shared" ref="H606:H607" si="99">G606/15</f>
        <v>532</v>
      </c>
    </row>
    <row r="607" spans="1:8" ht="21" x14ac:dyDescent="0.4">
      <c r="A607" s="111" t="s">
        <v>25</v>
      </c>
      <c r="B607" s="112">
        <v>13</v>
      </c>
      <c r="C607" s="109">
        <v>45504</v>
      </c>
      <c r="D607" s="110">
        <v>2024</v>
      </c>
      <c r="E607" s="102">
        <f t="shared" si="96"/>
        <v>152.76000000000028</v>
      </c>
      <c r="F607" s="100">
        <f t="shared" si="97"/>
        <v>139.76000000000028</v>
      </c>
      <c r="G607" s="101">
        <f t="shared" si="98"/>
        <v>7995</v>
      </c>
      <c r="H607" s="101">
        <f t="shared" si="99"/>
        <v>533</v>
      </c>
    </row>
    <row r="608" spans="1:8" ht="21" x14ac:dyDescent="0.4">
      <c r="A608" s="111" t="s">
        <v>25</v>
      </c>
      <c r="B608" s="112">
        <v>8</v>
      </c>
      <c r="C608" s="111">
        <v>45505</v>
      </c>
      <c r="D608" s="110">
        <v>2024</v>
      </c>
      <c r="E608" s="102">
        <f t="shared" ref="E608:E610" si="100">IF(C608=C607,F607,F607+15)</f>
        <v>154.76000000000028</v>
      </c>
      <c r="F608" s="100">
        <f t="shared" ref="F608:F610" si="101">E608-B608</f>
        <v>146.76000000000028</v>
      </c>
      <c r="G608" s="101">
        <f t="shared" ref="G608:G610" si="102">IF(C608&lt;&gt;C607, 15+G607,G607)</f>
        <v>8010</v>
      </c>
      <c r="H608" s="101">
        <f t="shared" ref="H608:H610" si="103">G608/15</f>
        <v>534</v>
      </c>
    </row>
    <row r="609" spans="1:8" ht="21" x14ac:dyDescent="0.4">
      <c r="A609" s="111" t="s">
        <v>25</v>
      </c>
      <c r="B609" s="112">
        <v>9.5</v>
      </c>
      <c r="C609" s="109">
        <v>45506</v>
      </c>
      <c r="D609" s="110">
        <v>2024</v>
      </c>
      <c r="E609" s="102">
        <f t="shared" si="100"/>
        <v>161.76000000000028</v>
      </c>
      <c r="F609" s="100">
        <f t="shared" si="101"/>
        <v>152.26000000000028</v>
      </c>
      <c r="G609" s="101">
        <f t="shared" si="102"/>
        <v>8025</v>
      </c>
      <c r="H609" s="101">
        <f t="shared" si="103"/>
        <v>535</v>
      </c>
    </row>
    <row r="610" spans="1:8" ht="21" x14ac:dyDescent="0.4">
      <c r="A610" s="111" t="s">
        <v>112</v>
      </c>
      <c r="B610" s="112">
        <v>0</v>
      </c>
      <c r="C610" s="111">
        <v>45507</v>
      </c>
      <c r="D610" s="110">
        <v>2024</v>
      </c>
      <c r="E610" s="102">
        <f t="shared" si="100"/>
        <v>167.26000000000028</v>
      </c>
      <c r="F610" s="100">
        <f t="shared" si="101"/>
        <v>167.26000000000028</v>
      </c>
      <c r="G610" s="101">
        <f t="shared" si="102"/>
        <v>8040</v>
      </c>
      <c r="H610" s="101">
        <f t="shared" si="103"/>
        <v>536</v>
      </c>
    </row>
    <row r="611" spans="1:8" ht="21" x14ac:dyDescent="0.4">
      <c r="A611" s="111" t="s">
        <v>112</v>
      </c>
      <c r="B611" s="112">
        <v>0</v>
      </c>
      <c r="C611" s="109">
        <v>45508</v>
      </c>
      <c r="D611" s="110">
        <v>2024</v>
      </c>
      <c r="E611" s="102">
        <f t="shared" ref="E611:E612" si="104">IF(C611=C610,F610,F610+15)</f>
        <v>182.26000000000028</v>
      </c>
      <c r="F611" s="100">
        <f t="shared" ref="F611:F612" si="105">E611-B611</f>
        <v>182.26000000000028</v>
      </c>
      <c r="G611" s="101">
        <f t="shared" ref="G611:G612" si="106">IF(C611&lt;&gt;C610, 15+G610,G610)</f>
        <v>8055</v>
      </c>
      <c r="H611" s="101">
        <f t="shared" ref="H611:H612" si="107">G611/15</f>
        <v>537</v>
      </c>
    </row>
    <row r="612" spans="1:8" ht="21" x14ac:dyDescent="0.4">
      <c r="A612" s="111" t="s">
        <v>25</v>
      </c>
      <c r="B612" s="112">
        <v>41</v>
      </c>
      <c r="C612" s="111">
        <v>45509</v>
      </c>
      <c r="D612" s="110">
        <v>2024</v>
      </c>
      <c r="E612" s="102">
        <f t="shared" si="104"/>
        <v>197.26000000000028</v>
      </c>
      <c r="F612" s="100">
        <f t="shared" si="105"/>
        <v>156.26000000000028</v>
      </c>
      <c r="G612" s="101">
        <f t="shared" si="106"/>
        <v>8070</v>
      </c>
      <c r="H612" s="101">
        <f t="shared" si="107"/>
        <v>538</v>
      </c>
    </row>
    <row r="613" spans="1:8" ht="21" x14ac:dyDescent="0.4">
      <c r="A613" s="111" t="s">
        <v>25</v>
      </c>
      <c r="B613" s="112">
        <v>65</v>
      </c>
      <c r="C613" s="109">
        <v>45510</v>
      </c>
      <c r="D613" s="110">
        <v>2024</v>
      </c>
      <c r="E613" s="102">
        <f t="shared" ref="E613:E614" si="108">IF(C613=C612,F612,F612+15)</f>
        <v>171.26000000000028</v>
      </c>
      <c r="F613" s="100">
        <f t="shared" ref="F613:F614" si="109">E613-B613</f>
        <v>106.26000000000028</v>
      </c>
      <c r="G613" s="101">
        <f t="shared" ref="G613:G614" si="110">IF(C613&lt;&gt;C612, 15+G612,G612)</f>
        <v>8085</v>
      </c>
      <c r="H613" s="101">
        <f t="shared" ref="H613:H614" si="111">G613/15</f>
        <v>539</v>
      </c>
    </row>
    <row r="614" spans="1:8" ht="21" x14ac:dyDescent="0.4">
      <c r="A614" s="111" t="s">
        <v>112</v>
      </c>
      <c r="B614" s="112">
        <v>0</v>
      </c>
      <c r="C614" s="111">
        <v>45511</v>
      </c>
      <c r="D614" s="110">
        <v>2024</v>
      </c>
      <c r="E614" s="102">
        <f t="shared" si="108"/>
        <v>121.26000000000028</v>
      </c>
      <c r="F614" s="100">
        <f t="shared" si="109"/>
        <v>121.26000000000028</v>
      </c>
      <c r="G614" s="101">
        <f t="shared" si="110"/>
        <v>8100</v>
      </c>
      <c r="H614" s="101">
        <f t="shared" si="111"/>
        <v>540</v>
      </c>
    </row>
    <row r="615" spans="1:8" ht="21" x14ac:dyDescent="0.4">
      <c r="A615" s="111" t="s">
        <v>112</v>
      </c>
      <c r="B615" s="112">
        <v>0</v>
      </c>
      <c r="C615" s="109">
        <v>45512</v>
      </c>
      <c r="D615" s="110">
        <v>2024</v>
      </c>
      <c r="E615" s="102">
        <f t="shared" ref="E615:E616" si="112">IF(C615=C614,F614,F614+15)</f>
        <v>136.26000000000028</v>
      </c>
      <c r="F615" s="100">
        <f t="shared" ref="F615:F616" si="113">E615-B615</f>
        <v>136.26000000000028</v>
      </c>
      <c r="G615" s="101">
        <f t="shared" ref="G615:G616" si="114">IF(C615&lt;&gt;C614, 15+G614,G614)</f>
        <v>8115</v>
      </c>
      <c r="H615" s="101">
        <f t="shared" ref="H615:H616" si="115">G615/15</f>
        <v>541</v>
      </c>
    </row>
    <row r="616" spans="1:8" ht="21" x14ac:dyDescent="0.4">
      <c r="A616" s="111" t="s">
        <v>25</v>
      </c>
      <c r="B616" s="112">
        <v>6.5</v>
      </c>
      <c r="C616" s="111">
        <v>45513</v>
      </c>
      <c r="D616" s="110">
        <v>2024</v>
      </c>
      <c r="E616" s="102">
        <f t="shared" si="112"/>
        <v>151.26000000000028</v>
      </c>
      <c r="F616" s="100">
        <f t="shared" si="113"/>
        <v>144.76000000000028</v>
      </c>
      <c r="G616" s="101">
        <f t="shared" si="114"/>
        <v>8130</v>
      </c>
      <c r="H616" s="101">
        <f t="shared" si="115"/>
        <v>542</v>
      </c>
    </row>
    <row r="617" spans="1:8" ht="21" x14ac:dyDescent="0.4">
      <c r="A617" s="111" t="s">
        <v>25</v>
      </c>
      <c r="B617" s="112">
        <v>8</v>
      </c>
      <c r="C617" s="109">
        <v>45514</v>
      </c>
      <c r="D617" s="110">
        <v>2024</v>
      </c>
      <c r="E617" s="102">
        <f t="shared" ref="E617:E618" si="116">IF(C617=C616,F616,F616+15)</f>
        <v>159.76000000000028</v>
      </c>
      <c r="F617" s="100">
        <f t="shared" ref="F617:F618" si="117">E617-B617</f>
        <v>151.76000000000028</v>
      </c>
      <c r="G617" s="101">
        <f t="shared" ref="G617:G618" si="118">IF(C617&lt;&gt;C616, 15+G616,G616)</f>
        <v>8145</v>
      </c>
      <c r="H617" s="101">
        <f t="shared" ref="H617:H618" si="119">G617/15</f>
        <v>543</v>
      </c>
    </row>
    <row r="618" spans="1:8" ht="21" x14ac:dyDescent="0.4">
      <c r="A618" s="111" t="s">
        <v>112</v>
      </c>
      <c r="B618" s="112">
        <v>0</v>
      </c>
      <c r="C618" s="111">
        <v>45515</v>
      </c>
      <c r="D618" s="110">
        <v>2024</v>
      </c>
      <c r="E618" s="102">
        <f t="shared" si="116"/>
        <v>166.76000000000028</v>
      </c>
      <c r="F618" s="100">
        <f t="shared" si="117"/>
        <v>166.76000000000028</v>
      </c>
      <c r="G618" s="101">
        <f t="shared" si="118"/>
        <v>8160</v>
      </c>
      <c r="H618" s="101">
        <f t="shared" si="119"/>
        <v>544</v>
      </c>
    </row>
    <row r="619" spans="1:8" ht="21" x14ac:dyDescent="0.4">
      <c r="A619" s="111" t="s">
        <v>25</v>
      </c>
      <c r="B619" s="112">
        <v>8</v>
      </c>
      <c r="C619" s="109">
        <v>45516</v>
      </c>
      <c r="D619" s="110">
        <v>2024</v>
      </c>
      <c r="E619" s="102">
        <f t="shared" ref="E619:E620" si="120">IF(C619=C618,F618,F618+15)</f>
        <v>181.76000000000028</v>
      </c>
      <c r="F619" s="100">
        <f t="shared" ref="F619:F620" si="121">E619-B619</f>
        <v>173.76000000000028</v>
      </c>
      <c r="G619" s="101">
        <f t="shared" ref="G619:G620" si="122">IF(C619&lt;&gt;C618, 15+G618,G618)</f>
        <v>8175</v>
      </c>
      <c r="H619" s="101">
        <f t="shared" ref="H619:H620" si="123">G619/15</f>
        <v>545</v>
      </c>
    </row>
    <row r="620" spans="1:8" ht="21" x14ac:dyDescent="0.4">
      <c r="A620" s="111" t="s">
        <v>25</v>
      </c>
      <c r="B620" s="112">
        <v>20</v>
      </c>
      <c r="C620" s="111">
        <v>45517</v>
      </c>
      <c r="D620" s="110">
        <v>2024</v>
      </c>
      <c r="E620" s="102">
        <f t="shared" si="120"/>
        <v>188.76000000000028</v>
      </c>
      <c r="F620" s="100">
        <f t="shared" si="121"/>
        <v>168.76000000000028</v>
      </c>
      <c r="G620" s="101">
        <f t="shared" si="122"/>
        <v>8190</v>
      </c>
      <c r="H620" s="101">
        <f t="shared" si="123"/>
        <v>546</v>
      </c>
    </row>
    <row r="621" spans="1:8" ht="21" x14ac:dyDescent="0.4">
      <c r="A621" s="111" t="s">
        <v>25</v>
      </c>
      <c r="B621" s="112">
        <v>7</v>
      </c>
      <c r="C621" s="109">
        <v>45518</v>
      </c>
      <c r="D621" s="110">
        <v>2024</v>
      </c>
      <c r="E621" s="102">
        <f t="shared" ref="E621:E622" si="124">IF(C621=C620,F620,F620+15)</f>
        <v>183.76000000000028</v>
      </c>
      <c r="F621" s="100">
        <f t="shared" ref="F621:F622" si="125">E621-B621</f>
        <v>176.76000000000028</v>
      </c>
      <c r="G621" s="101">
        <f t="shared" ref="G621:G622" si="126">IF(C621&lt;&gt;C620, 15+G620,G620)</f>
        <v>8205</v>
      </c>
      <c r="H621" s="101">
        <f t="shared" ref="H621:H622" si="127">G621/15</f>
        <v>547</v>
      </c>
    </row>
    <row r="622" spans="1:8" ht="21" x14ac:dyDescent="0.4">
      <c r="A622" s="111" t="s">
        <v>25</v>
      </c>
      <c r="B622" s="112">
        <v>4.5</v>
      </c>
      <c r="C622" s="111">
        <v>45519</v>
      </c>
      <c r="D622" s="110">
        <v>2024</v>
      </c>
      <c r="E622" s="102">
        <f t="shared" si="124"/>
        <v>191.76000000000028</v>
      </c>
      <c r="F622" s="100">
        <f t="shared" si="125"/>
        <v>187.26000000000028</v>
      </c>
      <c r="G622" s="101">
        <f t="shared" si="126"/>
        <v>8220</v>
      </c>
      <c r="H622" s="101">
        <f t="shared" si="127"/>
        <v>548</v>
      </c>
    </row>
    <row r="623" spans="1:8" ht="21" x14ac:dyDescent="0.4">
      <c r="A623" s="111" t="s">
        <v>25</v>
      </c>
      <c r="B623" s="112">
        <v>6.6</v>
      </c>
      <c r="C623" s="109">
        <v>45520</v>
      </c>
      <c r="D623" s="110">
        <v>2024</v>
      </c>
      <c r="E623" s="102">
        <f t="shared" ref="E623:E624" si="128">IF(C623=C622,F622,F622+15)</f>
        <v>202.26000000000028</v>
      </c>
      <c r="F623" s="100">
        <f t="shared" ref="F623:F624" si="129">E623-B623</f>
        <v>195.66000000000028</v>
      </c>
      <c r="G623" s="101">
        <f t="shared" ref="G623:G624" si="130">IF(C623&lt;&gt;C622, 15+G622,G622)</f>
        <v>8235</v>
      </c>
      <c r="H623" s="101">
        <f t="shared" ref="H623:H624" si="131">G623/15</f>
        <v>549</v>
      </c>
    </row>
    <row r="624" spans="1:8" ht="21" x14ac:dyDescent="0.4">
      <c r="A624" s="111" t="s">
        <v>112</v>
      </c>
      <c r="B624" s="112">
        <v>0</v>
      </c>
      <c r="C624" s="111">
        <v>45521</v>
      </c>
      <c r="D624" s="110">
        <v>2024</v>
      </c>
      <c r="E624" s="102">
        <f t="shared" si="128"/>
        <v>210.66000000000028</v>
      </c>
      <c r="F624" s="100">
        <f t="shared" si="129"/>
        <v>210.66000000000028</v>
      </c>
      <c r="G624" s="101">
        <f t="shared" si="130"/>
        <v>8250</v>
      </c>
      <c r="H624" s="101">
        <f t="shared" si="131"/>
        <v>550</v>
      </c>
    </row>
    <row r="625" spans="1:8" ht="21" x14ac:dyDescent="0.4">
      <c r="A625" s="111" t="s">
        <v>25</v>
      </c>
      <c r="B625" s="112">
        <v>11</v>
      </c>
      <c r="C625" s="109">
        <v>45522</v>
      </c>
      <c r="D625" s="110">
        <v>2024</v>
      </c>
      <c r="E625" s="102">
        <f t="shared" ref="E625:E626" si="132">IF(C625=C624,F624,F624+15)</f>
        <v>225.66000000000028</v>
      </c>
      <c r="F625" s="100">
        <f t="shared" ref="F625:F626" si="133">E625-B625</f>
        <v>214.66000000000028</v>
      </c>
      <c r="G625" s="101">
        <f t="shared" ref="G625:G626" si="134">IF(C625&lt;&gt;C624, 15+G624,G624)</f>
        <v>8265</v>
      </c>
      <c r="H625" s="101">
        <f t="shared" ref="H625:H626" si="135">G625/15</f>
        <v>551</v>
      </c>
    </row>
    <row r="626" spans="1:8" ht="21" x14ac:dyDescent="0.4">
      <c r="A626" s="111" t="s">
        <v>25</v>
      </c>
      <c r="B626" s="112">
        <v>32</v>
      </c>
      <c r="C626" s="111">
        <v>45523</v>
      </c>
      <c r="D626" s="110">
        <v>2024</v>
      </c>
      <c r="E626" s="102">
        <f t="shared" si="132"/>
        <v>229.66000000000028</v>
      </c>
      <c r="F626" s="100">
        <f t="shared" si="133"/>
        <v>197.66000000000028</v>
      </c>
      <c r="G626" s="101">
        <f t="shared" si="134"/>
        <v>8280</v>
      </c>
      <c r="H626" s="101">
        <f t="shared" si="135"/>
        <v>552</v>
      </c>
    </row>
    <row r="627" spans="1:8" ht="21" x14ac:dyDescent="0.4">
      <c r="A627" s="111" t="s">
        <v>25</v>
      </c>
      <c r="B627" s="112">
        <v>21</v>
      </c>
      <c r="C627" s="109">
        <v>45524</v>
      </c>
      <c r="D627" s="110">
        <v>2024</v>
      </c>
      <c r="E627" s="102">
        <f t="shared" ref="E627:E628" si="136">IF(C627=C626,F626,F626+15)</f>
        <v>212.66000000000028</v>
      </c>
      <c r="F627" s="100">
        <f t="shared" ref="F627:F628" si="137">E627-B627</f>
        <v>191.66000000000028</v>
      </c>
      <c r="G627" s="101">
        <f t="shared" ref="G627:G628" si="138">IF(C627&lt;&gt;C626, 15+G626,G626)</f>
        <v>8295</v>
      </c>
      <c r="H627" s="101">
        <f t="shared" ref="H627:H628" si="139">G627/15</f>
        <v>553</v>
      </c>
    </row>
    <row r="628" spans="1:8" ht="21" x14ac:dyDescent="0.4">
      <c r="A628" s="111" t="s">
        <v>112</v>
      </c>
      <c r="B628" s="112">
        <v>0</v>
      </c>
      <c r="C628" s="111">
        <v>45525</v>
      </c>
      <c r="D628" s="110">
        <v>2024</v>
      </c>
      <c r="E628" s="102">
        <f t="shared" si="136"/>
        <v>206.66000000000028</v>
      </c>
      <c r="F628" s="100">
        <f t="shared" si="137"/>
        <v>206.66000000000028</v>
      </c>
      <c r="G628" s="101">
        <f t="shared" si="138"/>
        <v>8310</v>
      </c>
      <c r="H628" s="101">
        <f t="shared" si="139"/>
        <v>554</v>
      </c>
    </row>
    <row r="629" spans="1:8" ht="21" x14ac:dyDescent="0.4">
      <c r="A629" s="111" t="s">
        <v>25</v>
      </c>
      <c r="B629" s="112">
        <v>20</v>
      </c>
      <c r="C629" s="109">
        <v>45526</v>
      </c>
      <c r="D629" s="110">
        <v>2024</v>
      </c>
      <c r="E629" s="102">
        <f t="shared" ref="E629:E630" si="140">IF(C629=C628,F628,F628+15)</f>
        <v>221.66000000000028</v>
      </c>
      <c r="F629" s="100">
        <f t="shared" ref="F629:F630" si="141">E629-B629</f>
        <v>201.66000000000028</v>
      </c>
      <c r="G629" s="101">
        <f t="shared" ref="G629:G630" si="142">IF(C629&lt;&gt;C628, 15+G628,G628)</f>
        <v>8325</v>
      </c>
      <c r="H629" s="101">
        <f t="shared" ref="H629:H630" si="143">G629/15</f>
        <v>555</v>
      </c>
    </row>
    <row r="630" spans="1:8" ht="21" x14ac:dyDescent="0.4">
      <c r="A630" s="111" t="s">
        <v>25</v>
      </c>
      <c r="B630" s="112">
        <v>36</v>
      </c>
      <c r="C630" s="111">
        <v>45527</v>
      </c>
      <c r="D630" s="110">
        <v>2024</v>
      </c>
      <c r="E630" s="102">
        <f t="shared" si="140"/>
        <v>216.66000000000028</v>
      </c>
      <c r="F630" s="100">
        <f t="shared" si="141"/>
        <v>180.66000000000028</v>
      </c>
      <c r="G630" s="101">
        <f t="shared" si="142"/>
        <v>8340</v>
      </c>
      <c r="H630" s="101">
        <f t="shared" si="143"/>
        <v>556</v>
      </c>
    </row>
    <row r="631" spans="1:8" ht="21" x14ac:dyDescent="0.4">
      <c r="A631" s="111" t="s">
        <v>25</v>
      </c>
      <c r="B631" s="112">
        <v>28</v>
      </c>
      <c r="C631" s="109">
        <v>45528</v>
      </c>
      <c r="D631" s="110">
        <v>2024</v>
      </c>
      <c r="E631" s="102">
        <f t="shared" ref="E631:E633" si="144">IF(C631=C630,F630,F630+15)</f>
        <v>195.66000000000028</v>
      </c>
      <c r="F631" s="100">
        <f t="shared" ref="F631:F633" si="145">E631-B631</f>
        <v>167.66000000000028</v>
      </c>
      <c r="G631" s="101">
        <f t="shared" ref="G631:G633" si="146">IF(C631&lt;&gt;C630, 15+G630,G630)</f>
        <v>8355</v>
      </c>
      <c r="H631" s="101">
        <f t="shared" ref="H631:H633" si="147">G631/15</f>
        <v>557</v>
      </c>
    </row>
    <row r="632" spans="1:8" ht="21" x14ac:dyDescent="0.4">
      <c r="A632" s="111" t="s">
        <v>25</v>
      </c>
      <c r="B632" s="112">
        <v>5</v>
      </c>
      <c r="C632" s="111">
        <v>45529</v>
      </c>
      <c r="D632" s="110">
        <v>2024</v>
      </c>
      <c r="E632" s="102">
        <f t="shared" si="144"/>
        <v>182.66000000000028</v>
      </c>
      <c r="F632" s="100">
        <f t="shared" si="145"/>
        <v>177.66000000000028</v>
      </c>
      <c r="G632" s="101">
        <f t="shared" si="146"/>
        <v>8370</v>
      </c>
      <c r="H632" s="101">
        <f t="shared" si="147"/>
        <v>558</v>
      </c>
    </row>
    <row r="633" spans="1:8" ht="21" x14ac:dyDescent="0.4">
      <c r="A633" s="111" t="s">
        <v>25</v>
      </c>
      <c r="B633" s="112">
        <v>44</v>
      </c>
      <c r="C633" s="109">
        <v>45530</v>
      </c>
      <c r="D633" s="110">
        <v>2024</v>
      </c>
      <c r="E633" s="102">
        <f t="shared" si="144"/>
        <v>192.66000000000028</v>
      </c>
      <c r="F633" s="100">
        <f t="shared" si="145"/>
        <v>148.66000000000028</v>
      </c>
      <c r="G633" s="101">
        <f t="shared" si="146"/>
        <v>8385</v>
      </c>
      <c r="H633" s="101">
        <f t="shared" si="147"/>
        <v>559</v>
      </c>
    </row>
    <row r="634" spans="1:8" ht="21" x14ac:dyDescent="0.4">
      <c r="A634" s="111" t="s">
        <v>25</v>
      </c>
      <c r="B634" s="112">
        <v>10</v>
      </c>
      <c r="C634" s="111">
        <v>45531</v>
      </c>
      <c r="D634" s="110">
        <v>2024</v>
      </c>
      <c r="E634" s="102">
        <f t="shared" ref="E634:E635" si="148">IF(C634=C633,F633,F633+15)</f>
        <v>163.66000000000028</v>
      </c>
      <c r="F634" s="100">
        <f t="shared" ref="F634:F635" si="149">E634-B634</f>
        <v>153.66000000000028</v>
      </c>
      <c r="G634" s="101">
        <f t="shared" ref="G634:G635" si="150">IF(C634&lt;&gt;C633, 15+G633,G633)</f>
        <v>8400</v>
      </c>
      <c r="H634" s="101">
        <f t="shared" ref="H634:H635" si="151">G634/15</f>
        <v>560</v>
      </c>
    </row>
    <row r="635" spans="1:8" ht="21" x14ac:dyDescent="0.4">
      <c r="A635" s="111" t="s">
        <v>25</v>
      </c>
      <c r="B635" s="112">
        <v>11</v>
      </c>
      <c r="C635" s="109">
        <v>45532</v>
      </c>
      <c r="D635" s="110">
        <v>2024</v>
      </c>
      <c r="E635" s="102">
        <f t="shared" si="148"/>
        <v>168.66000000000028</v>
      </c>
      <c r="F635" s="100">
        <f t="shared" si="149"/>
        <v>157.66000000000028</v>
      </c>
      <c r="G635" s="101">
        <f t="shared" si="150"/>
        <v>8415</v>
      </c>
      <c r="H635" s="101">
        <f t="shared" si="151"/>
        <v>561</v>
      </c>
    </row>
    <row r="636" spans="1:8" ht="21" x14ac:dyDescent="0.4">
      <c r="A636" s="111" t="s">
        <v>25</v>
      </c>
      <c r="B636" s="112">
        <v>6.5</v>
      </c>
      <c r="C636" s="111">
        <v>45533</v>
      </c>
      <c r="D636" s="110">
        <v>2024</v>
      </c>
      <c r="E636" s="102">
        <f t="shared" ref="E636:E637" si="152">IF(C636=C635,F635,F635+15)</f>
        <v>172.66000000000028</v>
      </c>
      <c r="F636" s="100">
        <f t="shared" ref="F636:F637" si="153">E636-B636</f>
        <v>166.16000000000028</v>
      </c>
      <c r="G636" s="101">
        <f t="shared" ref="G636:G637" si="154">IF(C636&lt;&gt;C635, 15+G635,G635)</f>
        <v>8430</v>
      </c>
      <c r="H636" s="101">
        <f t="shared" ref="H636:H637" si="155">G636/15</f>
        <v>562</v>
      </c>
    </row>
    <row r="637" spans="1:8" ht="21" x14ac:dyDescent="0.4">
      <c r="A637" s="111" t="s">
        <v>25</v>
      </c>
      <c r="B637" s="112">
        <v>40</v>
      </c>
      <c r="C637" s="109">
        <v>45534</v>
      </c>
      <c r="D637" s="110">
        <v>2024</v>
      </c>
      <c r="E637" s="102">
        <f t="shared" si="152"/>
        <v>181.16000000000028</v>
      </c>
      <c r="F637" s="100">
        <f t="shared" si="153"/>
        <v>141.16000000000028</v>
      </c>
      <c r="G637" s="101">
        <f t="shared" si="154"/>
        <v>8445</v>
      </c>
      <c r="H637" s="101">
        <f t="shared" si="155"/>
        <v>563</v>
      </c>
    </row>
    <row r="638" spans="1:8" ht="21" x14ac:dyDescent="0.4">
      <c r="A638" s="111" t="s">
        <v>25</v>
      </c>
      <c r="B638" s="112">
        <v>5</v>
      </c>
      <c r="C638" s="111">
        <v>45535</v>
      </c>
      <c r="D638" s="110">
        <v>2024</v>
      </c>
      <c r="E638" s="102">
        <f t="shared" ref="E638:E639" si="156">IF(C638=C637,F637,F637+15)</f>
        <v>156.16000000000028</v>
      </c>
      <c r="F638" s="100">
        <f t="shared" ref="F638:F639" si="157">E638-B638</f>
        <v>151.16000000000028</v>
      </c>
      <c r="G638" s="101">
        <f t="shared" ref="G638:G639" si="158">IF(C638&lt;&gt;C637, 15+G637,G637)</f>
        <v>8460</v>
      </c>
      <c r="H638" s="101">
        <f t="shared" ref="H638:H639" si="159">G638/15</f>
        <v>564</v>
      </c>
    </row>
    <row r="639" spans="1:8" ht="21" x14ac:dyDescent="0.4">
      <c r="A639" s="111" t="s">
        <v>25</v>
      </c>
      <c r="B639" s="112">
        <v>6.5</v>
      </c>
      <c r="C639" s="109">
        <v>45536</v>
      </c>
      <c r="D639" s="110">
        <v>2024</v>
      </c>
      <c r="E639" s="102">
        <f t="shared" si="156"/>
        <v>166.16000000000028</v>
      </c>
      <c r="F639" s="100">
        <f t="shared" si="157"/>
        <v>159.66000000000028</v>
      </c>
      <c r="G639" s="101">
        <f t="shared" si="158"/>
        <v>8475</v>
      </c>
      <c r="H639" s="101">
        <f t="shared" si="159"/>
        <v>565</v>
      </c>
    </row>
    <row r="640" spans="1:8" ht="21" x14ac:dyDescent="0.4">
      <c r="A640" s="111" t="s">
        <v>25</v>
      </c>
      <c r="B640" s="112">
        <v>22</v>
      </c>
      <c r="C640" s="111">
        <v>45537</v>
      </c>
      <c r="D640" s="110">
        <v>2024</v>
      </c>
      <c r="E640" s="102">
        <f t="shared" ref="E640:E642" si="160">IF(C640=C639,F639,F639+15)</f>
        <v>174.66000000000028</v>
      </c>
      <c r="F640" s="100">
        <f t="shared" ref="F640:F642" si="161">E640-B640</f>
        <v>152.66000000000028</v>
      </c>
      <c r="G640" s="101">
        <f t="shared" ref="G640:G642" si="162">IF(C640&lt;&gt;C639, 15+G639,G639)</f>
        <v>8490</v>
      </c>
      <c r="H640" s="101">
        <f t="shared" ref="H640:H642" si="163">G640/15</f>
        <v>566</v>
      </c>
    </row>
    <row r="641" spans="1:8" ht="21" x14ac:dyDescent="0.4">
      <c r="A641" s="111" t="s">
        <v>25</v>
      </c>
      <c r="B641" s="112">
        <v>14</v>
      </c>
      <c r="C641" s="111">
        <v>45538</v>
      </c>
      <c r="D641" s="110">
        <v>2024</v>
      </c>
      <c r="E641" s="102">
        <f t="shared" si="160"/>
        <v>167.66000000000028</v>
      </c>
      <c r="F641" s="100">
        <f t="shared" si="161"/>
        <v>153.66000000000028</v>
      </c>
      <c r="G641" s="101">
        <f t="shared" si="162"/>
        <v>8505</v>
      </c>
      <c r="H641" s="101">
        <f t="shared" si="163"/>
        <v>567</v>
      </c>
    </row>
    <row r="642" spans="1:8" ht="21" x14ac:dyDescent="0.4">
      <c r="A642" s="111" t="s">
        <v>112</v>
      </c>
      <c r="B642" s="112">
        <v>0</v>
      </c>
      <c r="C642" s="109">
        <v>45539</v>
      </c>
      <c r="D642" s="110">
        <v>2024</v>
      </c>
      <c r="E642" s="102">
        <f t="shared" si="160"/>
        <v>168.66000000000028</v>
      </c>
      <c r="F642" s="100">
        <f t="shared" si="161"/>
        <v>168.66000000000028</v>
      </c>
      <c r="G642" s="101">
        <f t="shared" si="162"/>
        <v>8520</v>
      </c>
      <c r="H642" s="101">
        <f t="shared" si="163"/>
        <v>568</v>
      </c>
    </row>
    <row r="643" spans="1:8" ht="21" x14ac:dyDescent="0.4">
      <c r="A643" s="111" t="s">
        <v>25</v>
      </c>
      <c r="B643" s="112">
        <v>34</v>
      </c>
      <c r="C643" s="111">
        <v>45540</v>
      </c>
      <c r="D643" s="110">
        <v>2024</v>
      </c>
      <c r="E643" s="102">
        <f t="shared" ref="E643:E644" si="164">IF(C643=C642,F642,F642+15)</f>
        <v>183.66000000000028</v>
      </c>
      <c r="F643" s="100">
        <f t="shared" ref="F643:F644" si="165">E643-B643</f>
        <v>149.66000000000028</v>
      </c>
      <c r="G643" s="101">
        <f t="shared" ref="G643:G644" si="166">IF(C643&lt;&gt;C642, 15+G642,G642)</f>
        <v>8535</v>
      </c>
      <c r="H643" s="101">
        <f t="shared" ref="H643:H644" si="167">G643/15</f>
        <v>569</v>
      </c>
    </row>
    <row r="644" spans="1:8" ht="21" x14ac:dyDescent="0.4">
      <c r="A644" s="111" t="s">
        <v>112</v>
      </c>
      <c r="B644" s="112">
        <v>0</v>
      </c>
      <c r="C644" s="109">
        <v>45541</v>
      </c>
      <c r="D644" s="110">
        <v>2024</v>
      </c>
      <c r="E644" s="102">
        <f t="shared" si="164"/>
        <v>164.66000000000028</v>
      </c>
      <c r="F644" s="100">
        <f t="shared" si="165"/>
        <v>164.66000000000028</v>
      </c>
      <c r="G644" s="101">
        <f t="shared" si="166"/>
        <v>8550</v>
      </c>
      <c r="H644" s="101">
        <f t="shared" si="167"/>
        <v>570</v>
      </c>
    </row>
    <row r="645" spans="1:8" ht="21" x14ac:dyDescent="0.4">
      <c r="A645" s="111" t="s">
        <v>25</v>
      </c>
      <c r="B645" s="112">
        <v>20.7</v>
      </c>
      <c r="C645" s="111">
        <v>45542</v>
      </c>
      <c r="D645" s="110">
        <v>2024</v>
      </c>
      <c r="E645" s="102">
        <f t="shared" ref="E645:E646" si="168">IF(C645=C644,F644,F644+15)</f>
        <v>179.66000000000028</v>
      </c>
      <c r="F645" s="100">
        <f t="shared" ref="F645:F646" si="169">E645-B645</f>
        <v>158.96000000000029</v>
      </c>
      <c r="G645" s="101">
        <f t="shared" ref="G645:G646" si="170">IF(C645&lt;&gt;C644, 15+G644,G644)</f>
        <v>8565</v>
      </c>
      <c r="H645" s="101">
        <f t="shared" ref="H645:H646" si="171">G645/15</f>
        <v>571</v>
      </c>
    </row>
    <row r="646" spans="1:8" ht="21" x14ac:dyDescent="0.4">
      <c r="A646" s="111" t="s">
        <v>112</v>
      </c>
      <c r="B646" s="112">
        <v>0</v>
      </c>
      <c r="C646" s="109">
        <v>45543</v>
      </c>
      <c r="D646" s="110">
        <v>2024</v>
      </c>
      <c r="E646" s="102">
        <f t="shared" si="168"/>
        <v>173.96000000000029</v>
      </c>
      <c r="F646" s="100">
        <f t="shared" si="169"/>
        <v>173.96000000000029</v>
      </c>
      <c r="G646" s="101">
        <f t="shared" si="170"/>
        <v>8580</v>
      </c>
      <c r="H646" s="101">
        <f t="shared" si="171"/>
        <v>572</v>
      </c>
    </row>
    <row r="647" spans="1:8" ht="21" x14ac:dyDescent="0.4">
      <c r="A647" s="111" t="s">
        <v>25</v>
      </c>
      <c r="B647" s="112">
        <v>48</v>
      </c>
      <c r="C647" s="111">
        <v>45544</v>
      </c>
      <c r="D647" s="110">
        <v>2024</v>
      </c>
      <c r="E647" s="102">
        <f t="shared" ref="E647:E648" si="172">IF(C647=C646,F646,F646+15)</f>
        <v>188.96000000000029</v>
      </c>
      <c r="F647" s="100">
        <f t="shared" ref="F647:F648" si="173">E647-B647</f>
        <v>140.96000000000029</v>
      </c>
      <c r="G647" s="101">
        <f t="shared" ref="G647:G648" si="174">IF(C647&lt;&gt;C646, 15+G646,G646)</f>
        <v>8595</v>
      </c>
      <c r="H647" s="101">
        <f t="shared" ref="H647:H648" si="175">G647/15</f>
        <v>573</v>
      </c>
    </row>
    <row r="648" spans="1:8" ht="21" x14ac:dyDescent="0.4">
      <c r="A648" s="111" t="s">
        <v>112</v>
      </c>
      <c r="B648" s="112">
        <v>0</v>
      </c>
      <c r="C648" s="109">
        <v>45545</v>
      </c>
      <c r="D648" s="110">
        <v>2024</v>
      </c>
      <c r="E648" s="102">
        <f t="shared" si="172"/>
        <v>155.96000000000029</v>
      </c>
      <c r="F648" s="100">
        <f t="shared" si="173"/>
        <v>155.96000000000029</v>
      </c>
      <c r="G648" s="101">
        <f t="shared" si="174"/>
        <v>8610</v>
      </c>
      <c r="H648" s="101">
        <f t="shared" si="175"/>
        <v>574</v>
      </c>
    </row>
    <row r="649" spans="1:8" ht="21" x14ac:dyDescent="0.4">
      <c r="A649" s="111" t="s">
        <v>112</v>
      </c>
      <c r="B649" s="112">
        <v>0</v>
      </c>
      <c r="C649" s="111">
        <v>45546</v>
      </c>
      <c r="D649" s="110">
        <v>2024</v>
      </c>
      <c r="E649" s="102">
        <f t="shared" ref="E649:E650" si="176">IF(C649=C648,F648,F648+15)</f>
        <v>170.96000000000029</v>
      </c>
      <c r="F649" s="100">
        <f t="shared" ref="F649:F650" si="177">E649-B649</f>
        <v>170.96000000000029</v>
      </c>
      <c r="G649" s="101">
        <f t="shared" ref="G649:G650" si="178">IF(C649&lt;&gt;C648, 15+G648,G648)</f>
        <v>8625</v>
      </c>
      <c r="H649" s="101">
        <f t="shared" ref="H649:H650" si="179">G649/15</f>
        <v>575</v>
      </c>
    </row>
    <row r="650" spans="1:8" ht="21" x14ac:dyDescent="0.4">
      <c r="A650" s="111" t="s">
        <v>25</v>
      </c>
      <c r="B650" s="112">
        <v>31</v>
      </c>
      <c r="C650" s="109">
        <v>45547</v>
      </c>
      <c r="D650" s="110">
        <v>2024</v>
      </c>
      <c r="E650" s="102">
        <f t="shared" si="176"/>
        <v>185.96000000000029</v>
      </c>
      <c r="F650" s="100">
        <f t="shared" si="177"/>
        <v>154.96000000000029</v>
      </c>
      <c r="G650" s="101">
        <f t="shared" si="178"/>
        <v>8640</v>
      </c>
      <c r="H650" s="101">
        <f t="shared" si="179"/>
        <v>576</v>
      </c>
    </row>
    <row r="651" spans="1:8" ht="21" x14ac:dyDescent="0.4">
      <c r="A651" s="111" t="s">
        <v>112</v>
      </c>
      <c r="B651" s="112">
        <v>0</v>
      </c>
      <c r="C651" s="111">
        <v>45548</v>
      </c>
      <c r="D651" s="110">
        <v>2024</v>
      </c>
      <c r="E651" s="102">
        <f t="shared" ref="E651:E652" si="180">IF(C651=C650,F650,F650+15)</f>
        <v>169.96000000000029</v>
      </c>
      <c r="F651" s="100">
        <f t="shared" ref="F651:F652" si="181">E651-B651</f>
        <v>169.96000000000029</v>
      </c>
      <c r="G651" s="101">
        <f t="shared" ref="G651:G652" si="182">IF(C651&lt;&gt;C650, 15+G650,G650)</f>
        <v>8655</v>
      </c>
      <c r="H651" s="101">
        <f t="shared" ref="H651:H652" si="183">G651/15</f>
        <v>577</v>
      </c>
    </row>
    <row r="652" spans="1:8" ht="21" x14ac:dyDescent="0.4">
      <c r="A652" s="111" t="s">
        <v>25</v>
      </c>
      <c r="B652" s="112">
        <v>9</v>
      </c>
      <c r="C652" s="109">
        <v>45549</v>
      </c>
      <c r="D652" s="110">
        <v>2024</v>
      </c>
      <c r="E652" s="102">
        <f t="shared" si="180"/>
        <v>184.96000000000029</v>
      </c>
      <c r="F652" s="100">
        <f t="shared" si="181"/>
        <v>175.96000000000029</v>
      </c>
      <c r="G652" s="101">
        <f t="shared" si="182"/>
        <v>8670</v>
      </c>
      <c r="H652" s="101">
        <f t="shared" si="183"/>
        <v>578</v>
      </c>
    </row>
    <row r="653" spans="1:8" ht="21" x14ac:dyDescent="0.4">
      <c r="A653" s="111" t="s">
        <v>25</v>
      </c>
      <c r="B653" s="112">
        <v>19</v>
      </c>
      <c r="C653" s="111">
        <v>45550</v>
      </c>
      <c r="D653" s="110">
        <v>2024</v>
      </c>
      <c r="E653" s="102">
        <f t="shared" ref="E653:E654" si="184">IF(C653=C652,F652,F652+15)</f>
        <v>190.96000000000029</v>
      </c>
      <c r="F653" s="100">
        <f t="shared" ref="F653:F654" si="185">E653-B653</f>
        <v>171.96000000000029</v>
      </c>
      <c r="G653" s="101">
        <f t="shared" ref="G653:G654" si="186">IF(C653&lt;&gt;C652, 15+G652,G652)</f>
        <v>8685</v>
      </c>
      <c r="H653" s="101">
        <f t="shared" ref="H653:H654" si="187">G653/15</f>
        <v>579</v>
      </c>
    </row>
    <row r="654" spans="1:8" ht="21" x14ac:dyDescent="0.4">
      <c r="A654" s="111" t="s">
        <v>25</v>
      </c>
      <c r="B654" s="112">
        <v>33</v>
      </c>
      <c r="C654" s="109">
        <v>45551</v>
      </c>
      <c r="D654" s="110">
        <v>2024</v>
      </c>
      <c r="E654" s="102">
        <f t="shared" si="184"/>
        <v>186.96000000000029</v>
      </c>
      <c r="F654" s="100">
        <f t="shared" si="185"/>
        <v>153.96000000000029</v>
      </c>
      <c r="G654" s="101">
        <f t="shared" si="186"/>
        <v>8700</v>
      </c>
      <c r="H654" s="101">
        <f t="shared" si="187"/>
        <v>580</v>
      </c>
    </row>
    <row r="655" spans="1:8" ht="21" x14ac:dyDescent="0.4">
      <c r="A655" s="111" t="s">
        <v>25</v>
      </c>
      <c r="B655" s="112">
        <v>24.5</v>
      </c>
      <c r="C655" s="111">
        <v>45552</v>
      </c>
      <c r="D655" s="110">
        <v>2024</v>
      </c>
      <c r="E655" s="102">
        <f t="shared" ref="E655:E656" si="188">IF(C655=C654,F654,F654+15)</f>
        <v>168.96000000000029</v>
      </c>
      <c r="F655" s="100">
        <f t="shared" ref="F655:F656" si="189">E655-B655</f>
        <v>144.46000000000029</v>
      </c>
      <c r="G655" s="101">
        <f t="shared" ref="G655:G656" si="190">IF(C655&lt;&gt;C654, 15+G654,G654)</f>
        <v>8715</v>
      </c>
      <c r="H655" s="101">
        <f t="shared" ref="H655:H656" si="191">G655/15</f>
        <v>581</v>
      </c>
    </row>
    <row r="656" spans="1:8" ht="21" x14ac:dyDescent="0.4">
      <c r="A656" s="111" t="s">
        <v>25</v>
      </c>
      <c r="B656" s="112">
        <v>31</v>
      </c>
      <c r="C656" s="109">
        <v>45553</v>
      </c>
      <c r="D656" s="110">
        <v>2024</v>
      </c>
      <c r="E656" s="102">
        <f t="shared" si="188"/>
        <v>159.46000000000029</v>
      </c>
      <c r="F656" s="100">
        <f t="shared" si="189"/>
        <v>128.46000000000029</v>
      </c>
      <c r="G656" s="101">
        <f t="shared" si="190"/>
        <v>8730</v>
      </c>
      <c r="H656" s="101">
        <f t="shared" si="191"/>
        <v>582</v>
      </c>
    </row>
    <row r="657" spans="1:8" ht="21" x14ac:dyDescent="0.4">
      <c r="A657" s="111" t="s">
        <v>25</v>
      </c>
      <c r="B657" s="112">
        <v>29</v>
      </c>
      <c r="C657" s="111">
        <v>45554</v>
      </c>
      <c r="D657" s="110">
        <v>2024</v>
      </c>
      <c r="E657" s="102">
        <f t="shared" ref="E657:E658" si="192">IF(C657=C656,F656,F656+15)</f>
        <v>143.46000000000029</v>
      </c>
      <c r="F657" s="100">
        <f t="shared" ref="F657:F658" si="193">E657-B657</f>
        <v>114.46000000000029</v>
      </c>
      <c r="G657" s="101">
        <f t="shared" ref="G657:G658" si="194">IF(C657&lt;&gt;C656, 15+G656,G656)</f>
        <v>8745</v>
      </c>
      <c r="H657" s="101">
        <f t="shared" ref="H657:H658" si="195">G657/15</f>
        <v>583</v>
      </c>
    </row>
    <row r="658" spans="1:8" ht="21" x14ac:dyDescent="0.4">
      <c r="A658" s="111" t="s">
        <v>25</v>
      </c>
      <c r="B658" s="112">
        <v>35</v>
      </c>
      <c r="C658" s="109">
        <v>45555</v>
      </c>
      <c r="D658" s="110">
        <v>2024</v>
      </c>
      <c r="E658" s="102">
        <f t="shared" si="192"/>
        <v>129.46000000000029</v>
      </c>
      <c r="F658" s="100">
        <f t="shared" si="193"/>
        <v>94.460000000000292</v>
      </c>
      <c r="G658" s="101">
        <f t="shared" si="194"/>
        <v>8760</v>
      </c>
      <c r="H658" s="101">
        <f t="shared" si="195"/>
        <v>584</v>
      </c>
    </row>
    <row r="659" spans="1:8" ht="21" x14ac:dyDescent="0.4">
      <c r="A659" s="111" t="s">
        <v>25</v>
      </c>
      <c r="B659" s="112">
        <v>20</v>
      </c>
      <c r="C659" s="111">
        <v>45556</v>
      </c>
      <c r="D659" s="110">
        <v>2024</v>
      </c>
      <c r="E659" s="102">
        <f t="shared" ref="E659:E660" si="196">IF(C659=C658,F658,F658+15)</f>
        <v>109.46000000000029</v>
      </c>
      <c r="F659" s="100">
        <f t="shared" ref="F659:F660" si="197">E659-B659</f>
        <v>89.460000000000292</v>
      </c>
      <c r="G659" s="101">
        <f t="shared" ref="G659:G660" si="198">IF(C659&lt;&gt;C658, 15+G658,G658)</f>
        <v>8775</v>
      </c>
      <c r="H659" s="101">
        <f t="shared" ref="H659:H660" si="199">G659/15</f>
        <v>585</v>
      </c>
    </row>
    <row r="660" spans="1:8" ht="21" x14ac:dyDescent="0.4">
      <c r="A660" s="111" t="s">
        <v>25</v>
      </c>
      <c r="B660" s="112">
        <v>0</v>
      </c>
      <c r="C660" s="109">
        <v>45557</v>
      </c>
      <c r="D660" s="110">
        <v>2024</v>
      </c>
      <c r="E660" s="102">
        <f t="shared" si="196"/>
        <v>104.46000000000029</v>
      </c>
      <c r="F660" s="100">
        <f t="shared" si="197"/>
        <v>104.46000000000029</v>
      </c>
      <c r="G660" s="101">
        <f t="shared" si="198"/>
        <v>8790</v>
      </c>
      <c r="H660" s="101">
        <f t="shared" si="199"/>
        <v>586</v>
      </c>
    </row>
    <row r="661" spans="1:8" ht="21" x14ac:dyDescent="0.4">
      <c r="A661" s="111" t="s">
        <v>25</v>
      </c>
      <c r="B661" s="112">
        <v>23</v>
      </c>
      <c r="C661" s="111">
        <v>45558</v>
      </c>
      <c r="D661" s="110">
        <v>2024</v>
      </c>
      <c r="E661" s="102">
        <f t="shared" ref="E661:E662" si="200">IF(C661=C660,F660,F660+15)</f>
        <v>119.46000000000029</v>
      </c>
      <c r="F661" s="100">
        <f t="shared" ref="F661:F662" si="201">E661-B661</f>
        <v>96.460000000000292</v>
      </c>
      <c r="G661" s="101">
        <f t="shared" ref="G661:G662" si="202">IF(C661&lt;&gt;C660, 15+G660,G660)</f>
        <v>8805</v>
      </c>
      <c r="H661" s="101">
        <f t="shared" ref="H661:H662" si="203">G661/15</f>
        <v>587</v>
      </c>
    </row>
    <row r="662" spans="1:8" ht="21" x14ac:dyDescent="0.4">
      <c r="A662" s="111" t="s">
        <v>25</v>
      </c>
      <c r="B662" s="112">
        <v>28</v>
      </c>
      <c r="C662" s="109">
        <v>45559</v>
      </c>
      <c r="D662" s="110">
        <v>2024</v>
      </c>
      <c r="E662" s="102">
        <f t="shared" si="200"/>
        <v>111.46000000000029</v>
      </c>
      <c r="F662" s="100">
        <f t="shared" si="201"/>
        <v>83.460000000000292</v>
      </c>
      <c r="G662" s="101">
        <f t="shared" si="202"/>
        <v>8820</v>
      </c>
      <c r="H662" s="101">
        <f t="shared" si="203"/>
        <v>588</v>
      </c>
    </row>
    <row r="663" spans="1:8" ht="21" x14ac:dyDescent="0.4">
      <c r="A663" s="111" t="s">
        <v>112</v>
      </c>
      <c r="B663" s="112">
        <v>0</v>
      </c>
      <c r="C663" s="111">
        <v>45560</v>
      </c>
      <c r="D663" s="110">
        <v>2024</v>
      </c>
      <c r="E663" s="102">
        <f t="shared" ref="E663:E664" si="204">IF(C663=C662,F662,F662+15)</f>
        <v>98.460000000000292</v>
      </c>
      <c r="F663" s="100">
        <f t="shared" ref="F663:F664" si="205">E663-B663</f>
        <v>98.460000000000292</v>
      </c>
      <c r="G663" s="101">
        <f t="shared" ref="G663:G664" si="206">IF(C663&lt;&gt;C662, 15+G662,G662)</f>
        <v>8835</v>
      </c>
      <c r="H663" s="101">
        <f t="shared" ref="H663:H664" si="207">G663/15</f>
        <v>589</v>
      </c>
    </row>
    <row r="664" spans="1:8" ht="21" x14ac:dyDescent="0.4">
      <c r="A664" s="111" t="s">
        <v>25</v>
      </c>
      <c r="B664" s="112">
        <v>19</v>
      </c>
      <c r="C664" s="109">
        <v>45561</v>
      </c>
      <c r="D664" s="110">
        <v>2024</v>
      </c>
      <c r="E664" s="102">
        <f t="shared" si="204"/>
        <v>113.46000000000029</v>
      </c>
      <c r="F664" s="100">
        <f t="shared" si="205"/>
        <v>94.460000000000292</v>
      </c>
      <c r="G664" s="101">
        <f t="shared" si="206"/>
        <v>8850</v>
      </c>
      <c r="H664" s="101">
        <f t="shared" si="207"/>
        <v>590</v>
      </c>
    </row>
    <row r="665" spans="1:8" ht="21" x14ac:dyDescent="0.4">
      <c r="A665" s="111" t="s">
        <v>112</v>
      </c>
      <c r="B665" s="112">
        <v>0</v>
      </c>
      <c r="C665" s="111">
        <v>45562</v>
      </c>
      <c r="D665" s="110">
        <v>2024</v>
      </c>
      <c r="E665" s="102">
        <f t="shared" ref="E665:E666" si="208">IF(C665=C664,F664,F664+15)</f>
        <v>109.46000000000029</v>
      </c>
      <c r="F665" s="100">
        <f t="shared" ref="F665:F666" si="209">E665-B665</f>
        <v>109.46000000000029</v>
      </c>
      <c r="G665" s="101">
        <f t="shared" ref="G665:G666" si="210">IF(C665&lt;&gt;C664, 15+G664,G664)</f>
        <v>8865</v>
      </c>
      <c r="H665" s="101">
        <f t="shared" ref="H665:H666" si="211">G665/15</f>
        <v>591</v>
      </c>
    </row>
    <row r="666" spans="1:8" ht="21" x14ac:dyDescent="0.4">
      <c r="A666" s="111" t="s">
        <v>25</v>
      </c>
      <c r="B666" s="112">
        <v>5</v>
      </c>
      <c r="C666" s="109">
        <v>45563</v>
      </c>
      <c r="D666" s="110">
        <v>2024</v>
      </c>
      <c r="E666" s="102">
        <f t="shared" si="208"/>
        <v>124.46000000000029</v>
      </c>
      <c r="F666" s="100">
        <f t="shared" si="209"/>
        <v>119.46000000000029</v>
      </c>
      <c r="G666" s="101">
        <f t="shared" si="210"/>
        <v>8880</v>
      </c>
      <c r="H666" s="101">
        <f t="shared" si="211"/>
        <v>592</v>
      </c>
    </row>
    <row r="667" spans="1:8" ht="21" x14ac:dyDescent="0.4">
      <c r="A667" s="111" t="s">
        <v>25</v>
      </c>
      <c r="B667" s="112">
        <v>5</v>
      </c>
      <c r="C667" s="111">
        <v>45564</v>
      </c>
      <c r="D667" s="110">
        <v>2024</v>
      </c>
      <c r="E667" s="102">
        <f t="shared" ref="E667:E668" si="212">IF(C667=C666,F666,F666+15)</f>
        <v>134.46000000000029</v>
      </c>
      <c r="F667" s="100">
        <f t="shared" ref="F667:F668" si="213">E667-B667</f>
        <v>129.46000000000029</v>
      </c>
      <c r="G667" s="101">
        <f t="shared" ref="G667:G668" si="214">IF(C667&lt;&gt;C666, 15+G666,G666)</f>
        <v>8895</v>
      </c>
      <c r="H667" s="101">
        <f t="shared" ref="H667:H668" si="215">G667/15</f>
        <v>593</v>
      </c>
    </row>
    <row r="668" spans="1:8" ht="21" x14ac:dyDescent="0.4">
      <c r="A668" s="111" t="s">
        <v>25</v>
      </c>
      <c r="B668" s="112">
        <v>37</v>
      </c>
      <c r="C668" s="109">
        <v>45565</v>
      </c>
      <c r="D668" s="110">
        <v>2024</v>
      </c>
      <c r="E668" s="102">
        <f t="shared" si="212"/>
        <v>144.46000000000029</v>
      </c>
      <c r="F668" s="100">
        <f t="shared" si="213"/>
        <v>107.46000000000029</v>
      </c>
      <c r="G668" s="101">
        <f t="shared" si="214"/>
        <v>8910</v>
      </c>
      <c r="H668" s="101">
        <f t="shared" si="215"/>
        <v>594</v>
      </c>
    </row>
    <row r="669" spans="1:8" ht="21" x14ac:dyDescent="0.4">
      <c r="A669" s="111" t="s">
        <v>25</v>
      </c>
      <c r="B669" s="112">
        <v>38</v>
      </c>
      <c r="C669" s="111">
        <v>45566</v>
      </c>
      <c r="D669" s="110">
        <v>2024</v>
      </c>
      <c r="E669" s="102">
        <f t="shared" ref="E669:E670" si="216">IF(C669=C668,F668,F668+15)</f>
        <v>122.46000000000029</v>
      </c>
      <c r="F669" s="100">
        <f t="shared" ref="F669:F670" si="217">E669-B669</f>
        <v>84.460000000000292</v>
      </c>
      <c r="G669" s="101">
        <f t="shared" ref="G669:G670" si="218">IF(C669&lt;&gt;C668, 15+G668,G668)</f>
        <v>8925</v>
      </c>
      <c r="H669" s="101">
        <f t="shared" ref="H669:H670" si="219">G669/15</f>
        <v>595</v>
      </c>
    </row>
    <row r="670" spans="1:8" ht="21" x14ac:dyDescent="0.4">
      <c r="A670" s="111" t="s">
        <v>25</v>
      </c>
      <c r="B670" s="112">
        <v>55</v>
      </c>
      <c r="C670" s="109">
        <v>45567</v>
      </c>
      <c r="D670" s="110">
        <v>2024</v>
      </c>
      <c r="E670" s="102">
        <f t="shared" si="216"/>
        <v>99.460000000000292</v>
      </c>
      <c r="F670" s="100">
        <f t="shared" si="217"/>
        <v>44.460000000000292</v>
      </c>
      <c r="G670" s="101">
        <f t="shared" si="218"/>
        <v>8940</v>
      </c>
      <c r="H670" s="101">
        <f t="shared" si="219"/>
        <v>596</v>
      </c>
    </row>
    <row r="671" spans="1:8" ht="21" x14ac:dyDescent="0.4">
      <c r="A671" s="111" t="s">
        <v>25</v>
      </c>
      <c r="B671" s="112">
        <v>15</v>
      </c>
      <c r="C671" s="111">
        <v>45568</v>
      </c>
      <c r="D671" s="110">
        <v>2024</v>
      </c>
      <c r="E671" s="102">
        <f t="shared" ref="E671:E672" si="220">IF(C671=C670,F670,F670+15)</f>
        <v>59.460000000000292</v>
      </c>
      <c r="F671" s="100">
        <f t="shared" ref="F671:F672" si="221">E671-B671</f>
        <v>44.460000000000292</v>
      </c>
      <c r="G671" s="101">
        <f t="shared" ref="G671:G672" si="222">IF(C671&lt;&gt;C670, 15+G670,G670)</f>
        <v>8955</v>
      </c>
      <c r="H671" s="101">
        <f t="shared" ref="H671:H672" si="223">G671/15</f>
        <v>597</v>
      </c>
    </row>
    <row r="672" spans="1:8" ht="21" x14ac:dyDescent="0.4">
      <c r="A672" s="111" t="s">
        <v>25</v>
      </c>
      <c r="B672" s="112">
        <v>8.5</v>
      </c>
      <c r="C672" s="109">
        <v>45569</v>
      </c>
      <c r="D672" s="110">
        <v>2024</v>
      </c>
      <c r="E672" s="102">
        <f t="shared" si="220"/>
        <v>59.460000000000292</v>
      </c>
      <c r="F672" s="100">
        <f t="shared" si="221"/>
        <v>50.960000000000292</v>
      </c>
      <c r="G672" s="101">
        <f t="shared" si="222"/>
        <v>8970</v>
      </c>
      <c r="H672" s="101">
        <f t="shared" si="223"/>
        <v>598</v>
      </c>
    </row>
    <row r="673" spans="1:8" ht="21" x14ac:dyDescent="0.4">
      <c r="A673" s="111" t="s">
        <v>25</v>
      </c>
      <c r="B673" s="112">
        <v>40</v>
      </c>
      <c r="C673" s="111">
        <v>45570</v>
      </c>
      <c r="D673" s="110">
        <v>2024</v>
      </c>
      <c r="E673" s="102">
        <f t="shared" ref="E673:E674" si="224">IF(C673=C672,F672,F672+15)</f>
        <v>65.960000000000292</v>
      </c>
      <c r="F673" s="100">
        <f t="shared" ref="F673:F674" si="225">E673-B673</f>
        <v>25.960000000000292</v>
      </c>
      <c r="G673" s="101">
        <f t="shared" ref="G673:G674" si="226">IF(C673&lt;&gt;C672, 15+G672,G672)</f>
        <v>8985</v>
      </c>
      <c r="H673" s="101">
        <f t="shared" ref="H673:H674" si="227">G673/15</f>
        <v>599</v>
      </c>
    </row>
    <row r="674" spans="1:8" ht="21" x14ac:dyDescent="0.4">
      <c r="A674" s="111" t="s">
        <v>25</v>
      </c>
      <c r="B674" s="112">
        <v>5</v>
      </c>
      <c r="C674" s="109">
        <v>45571</v>
      </c>
      <c r="D674" s="110">
        <v>2024</v>
      </c>
      <c r="E674" s="102">
        <f t="shared" si="224"/>
        <v>40.960000000000292</v>
      </c>
      <c r="F674" s="100">
        <f t="shared" si="225"/>
        <v>35.960000000000292</v>
      </c>
      <c r="G674" s="101">
        <f t="shared" si="226"/>
        <v>9000</v>
      </c>
      <c r="H674" s="101">
        <f t="shared" si="227"/>
        <v>600</v>
      </c>
    </row>
    <row r="675" spans="1:8" ht="21" x14ac:dyDescent="0.4">
      <c r="A675" s="111" t="s">
        <v>25</v>
      </c>
      <c r="B675" s="112">
        <v>23</v>
      </c>
      <c r="C675" s="111">
        <v>45572</v>
      </c>
      <c r="D675" s="110">
        <v>2024</v>
      </c>
      <c r="E675" s="102">
        <f t="shared" ref="E675:E676" si="228">IF(C675=C674,F674,F674+15)</f>
        <v>50.960000000000292</v>
      </c>
      <c r="F675" s="100">
        <f t="shared" ref="F675:F676" si="229">E675-B675</f>
        <v>27.960000000000292</v>
      </c>
      <c r="G675" s="101">
        <f t="shared" ref="G675:G676" si="230">IF(C675&lt;&gt;C674, 15+G674,G674)</f>
        <v>9015</v>
      </c>
      <c r="H675" s="101">
        <f t="shared" ref="H675:H676" si="231">G675/15</f>
        <v>601</v>
      </c>
    </row>
    <row r="676" spans="1:8" ht="21" x14ac:dyDescent="0.4">
      <c r="A676" s="111" t="s">
        <v>25</v>
      </c>
      <c r="B676" s="112">
        <v>14.5</v>
      </c>
      <c r="C676" s="109">
        <v>45573</v>
      </c>
      <c r="D676" s="110">
        <v>2024</v>
      </c>
      <c r="E676" s="102">
        <f t="shared" si="228"/>
        <v>42.960000000000292</v>
      </c>
      <c r="F676" s="100">
        <f t="shared" si="229"/>
        <v>28.460000000000292</v>
      </c>
      <c r="G676" s="101">
        <f t="shared" si="230"/>
        <v>9030</v>
      </c>
      <c r="H676" s="101">
        <f t="shared" si="231"/>
        <v>602</v>
      </c>
    </row>
    <row r="677" spans="1:8" ht="21" x14ac:dyDescent="0.4">
      <c r="A677" s="111" t="s">
        <v>25</v>
      </c>
      <c r="B677" s="112">
        <v>6</v>
      </c>
      <c r="C677" s="111">
        <v>45574</v>
      </c>
      <c r="D677" s="110">
        <v>2024</v>
      </c>
      <c r="E677" s="102">
        <f t="shared" ref="E677:E681" si="232">IF(C677=C676,F676,F676+15)</f>
        <v>43.460000000000292</v>
      </c>
      <c r="F677" s="100">
        <f t="shared" ref="F677:F681" si="233">E677-B677</f>
        <v>37.460000000000292</v>
      </c>
      <c r="G677" s="101">
        <f t="shared" ref="G677:G681" si="234">IF(C677&lt;&gt;C676, 15+G676,G676)</f>
        <v>9045</v>
      </c>
      <c r="H677" s="101">
        <f t="shared" ref="H677:H681" si="235">G677/15</f>
        <v>603</v>
      </c>
    </row>
    <row r="678" spans="1:8" ht="21" x14ac:dyDescent="0.4">
      <c r="A678" s="111" t="s">
        <v>25</v>
      </c>
      <c r="B678" s="112">
        <v>14</v>
      </c>
      <c r="C678" s="109">
        <v>45575</v>
      </c>
      <c r="D678" s="110">
        <v>2024</v>
      </c>
      <c r="E678" s="102">
        <f t="shared" si="232"/>
        <v>52.460000000000292</v>
      </c>
      <c r="F678" s="100">
        <f t="shared" si="233"/>
        <v>38.460000000000292</v>
      </c>
      <c r="G678" s="101">
        <f t="shared" si="234"/>
        <v>9060</v>
      </c>
      <c r="H678" s="101">
        <f t="shared" si="235"/>
        <v>604</v>
      </c>
    </row>
    <row r="679" spans="1:8" ht="21" x14ac:dyDescent="0.4">
      <c r="A679" s="111" t="s">
        <v>25</v>
      </c>
      <c r="B679" s="112">
        <v>23</v>
      </c>
      <c r="C679" s="111">
        <v>45576</v>
      </c>
      <c r="D679" s="110">
        <v>2024</v>
      </c>
      <c r="E679" s="102">
        <f t="shared" si="232"/>
        <v>53.460000000000292</v>
      </c>
      <c r="F679" s="100">
        <f t="shared" si="233"/>
        <v>30.460000000000292</v>
      </c>
      <c r="G679" s="101">
        <f t="shared" si="234"/>
        <v>9075</v>
      </c>
      <c r="H679" s="101">
        <f t="shared" si="235"/>
        <v>605</v>
      </c>
    </row>
    <row r="680" spans="1:8" ht="21" x14ac:dyDescent="0.4">
      <c r="A680" s="111" t="s">
        <v>25</v>
      </c>
      <c r="B680" s="112">
        <v>13.5</v>
      </c>
      <c r="C680" s="109">
        <v>45577</v>
      </c>
      <c r="D680" s="110">
        <v>2024</v>
      </c>
      <c r="E680" s="102">
        <f t="shared" si="232"/>
        <v>45.460000000000292</v>
      </c>
      <c r="F680" s="100">
        <f t="shared" si="233"/>
        <v>31.960000000000292</v>
      </c>
      <c r="G680" s="101">
        <f t="shared" si="234"/>
        <v>9090</v>
      </c>
      <c r="H680" s="101">
        <f t="shared" si="235"/>
        <v>606</v>
      </c>
    </row>
    <row r="681" spans="1:8" ht="21" x14ac:dyDescent="0.4">
      <c r="A681" s="111" t="s">
        <v>25</v>
      </c>
      <c r="B681" s="112">
        <v>8.6999999999999993</v>
      </c>
      <c r="C681" s="111">
        <v>45578</v>
      </c>
      <c r="D681" s="110">
        <v>2024</v>
      </c>
      <c r="E681" s="102">
        <f t="shared" si="232"/>
        <v>46.960000000000292</v>
      </c>
      <c r="F681" s="100">
        <f t="shared" si="233"/>
        <v>38.260000000000289</v>
      </c>
      <c r="G681" s="101">
        <f t="shared" si="234"/>
        <v>9105</v>
      </c>
      <c r="H681" s="101">
        <f t="shared" si="235"/>
        <v>607</v>
      </c>
    </row>
    <row r="682" spans="1:8" ht="21" x14ac:dyDescent="0.4">
      <c r="A682" s="111" t="s">
        <v>25</v>
      </c>
      <c r="B682" s="112">
        <v>24</v>
      </c>
      <c r="C682" s="109">
        <v>45579</v>
      </c>
      <c r="D682" s="110">
        <v>2024</v>
      </c>
      <c r="E682" s="102">
        <f t="shared" ref="E682:E683" si="236">IF(C682=C681,F681,F681+15)</f>
        <v>53.260000000000289</v>
      </c>
      <c r="F682" s="100">
        <f t="shared" ref="F682:F683" si="237">E682-B682</f>
        <v>29.260000000000289</v>
      </c>
      <c r="G682" s="101">
        <f t="shared" ref="G682:G683" si="238">IF(C682&lt;&gt;C681, 15+G681,G681)</f>
        <v>9120</v>
      </c>
      <c r="H682" s="101">
        <f t="shared" ref="H682:H683" si="239">G682/15</f>
        <v>608</v>
      </c>
    </row>
    <row r="683" spans="1:8" ht="21" x14ac:dyDescent="0.4">
      <c r="A683" s="111" t="s">
        <v>25</v>
      </c>
      <c r="B683" s="112">
        <v>17</v>
      </c>
      <c r="C683" s="111">
        <v>45580</v>
      </c>
      <c r="D683" s="110">
        <v>2024</v>
      </c>
      <c r="E683" s="102">
        <f t="shared" si="236"/>
        <v>44.260000000000289</v>
      </c>
      <c r="F683" s="100">
        <f t="shared" si="237"/>
        <v>27.260000000000289</v>
      </c>
      <c r="G683" s="101">
        <f t="shared" si="238"/>
        <v>9135</v>
      </c>
      <c r="H683" s="101">
        <f t="shared" si="239"/>
        <v>609</v>
      </c>
    </row>
    <row r="684" spans="1:8" ht="21" x14ac:dyDescent="0.4">
      <c r="A684" s="111" t="s">
        <v>25</v>
      </c>
      <c r="B684" s="112">
        <v>50</v>
      </c>
      <c r="C684" s="109">
        <v>45581</v>
      </c>
      <c r="D684" s="110">
        <v>2024</v>
      </c>
      <c r="E684" s="102">
        <f t="shared" ref="E684:E685" si="240">IF(C684=C683,F683,F683+15)</f>
        <v>42.260000000000289</v>
      </c>
      <c r="F684" s="100">
        <f t="shared" ref="F684:F685" si="241">E684-B684</f>
        <v>-7.7399999999997107</v>
      </c>
      <c r="G684" s="101">
        <f t="shared" ref="G684:G685" si="242">IF(C684&lt;&gt;C683, 15+G683,G683)</f>
        <v>9150</v>
      </c>
      <c r="H684" s="101">
        <f t="shared" ref="H684:H685" si="243">G684/15</f>
        <v>610</v>
      </c>
    </row>
    <row r="685" spans="1:8" ht="21" x14ac:dyDescent="0.4">
      <c r="A685" s="111" t="s">
        <v>25</v>
      </c>
      <c r="B685" s="112">
        <v>30</v>
      </c>
      <c r="C685" s="111">
        <v>45582</v>
      </c>
      <c r="D685" s="110">
        <v>2024</v>
      </c>
      <c r="E685" s="102">
        <f t="shared" si="240"/>
        <v>7.2600000000002893</v>
      </c>
      <c r="F685" s="100">
        <f t="shared" si="241"/>
        <v>-22.739999999999711</v>
      </c>
      <c r="G685" s="101">
        <f t="shared" si="242"/>
        <v>9165</v>
      </c>
      <c r="H685" s="101">
        <f t="shared" si="243"/>
        <v>611</v>
      </c>
    </row>
    <row r="686" spans="1:8" ht="21" x14ac:dyDescent="0.4">
      <c r="A686" s="111" t="s">
        <v>25</v>
      </c>
      <c r="B686" s="112">
        <v>0</v>
      </c>
      <c r="C686" s="109">
        <v>45583</v>
      </c>
      <c r="D686" s="110">
        <v>2024</v>
      </c>
      <c r="E686" s="102">
        <f t="shared" ref="E686:E687" si="244">IF(C686=C685,F685,F685+15)</f>
        <v>-7.7399999999997107</v>
      </c>
      <c r="F686" s="100">
        <f t="shared" ref="F686:F687" si="245">E686-B686</f>
        <v>-7.7399999999997107</v>
      </c>
      <c r="G686" s="101">
        <f t="shared" ref="G686:G687" si="246">IF(C686&lt;&gt;C685, 15+G685,G685)</f>
        <v>9180</v>
      </c>
      <c r="H686" s="101">
        <f t="shared" ref="H686:H687" si="247">G686/15</f>
        <v>612</v>
      </c>
    </row>
    <row r="687" spans="1:8" ht="21" x14ac:dyDescent="0.4">
      <c r="A687" s="111" t="s">
        <v>25</v>
      </c>
      <c r="B687" s="112">
        <v>13</v>
      </c>
      <c r="C687" s="111">
        <v>45584</v>
      </c>
      <c r="D687" s="110">
        <v>2024</v>
      </c>
      <c r="E687" s="102">
        <f t="shared" si="244"/>
        <v>7.2600000000002893</v>
      </c>
      <c r="F687" s="100">
        <f t="shared" si="245"/>
        <v>-5.7399999999997107</v>
      </c>
      <c r="G687" s="101">
        <f t="shared" si="246"/>
        <v>9195</v>
      </c>
      <c r="H687" s="101">
        <f t="shared" si="247"/>
        <v>613</v>
      </c>
    </row>
    <row r="688" spans="1:8" ht="21" x14ac:dyDescent="0.4">
      <c r="A688" s="111" t="s">
        <v>25</v>
      </c>
      <c r="B688" s="112">
        <v>51</v>
      </c>
      <c r="C688" s="109">
        <v>45585</v>
      </c>
      <c r="D688" s="110">
        <v>2024</v>
      </c>
      <c r="E688" s="102">
        <f t="shared" ref="E688:E689" si="248">IF(C688=C687,F687,F687+15)</f>
        <v>9.2600000000002893</v>
      </c>
      <c r="F688" s="100">
        <f t="shared" ref="F688:F689" si="249">E688-B688</f>
        <v>-41.739999999999711</v>
      </c>
      <c r="G688" s="101">
        <f t="shared" ref="G688:G689" si="250">IF(C688&lt;&gt;C687, 15+G687,G687)</f>
        <v>9210</v>
      </c>
      <c r="H688" s="101">
        <f t="shared" ref="H688:H689" si="251">G688/15</f>
        <v>614</v>
      </c>
    </row>
    <row r="689" spans="1:8" ht="21" x14ac:dyDescent="0.4">
      <c r="A689" s="111" t="s">
        <v>25</v>
      </c>
      <c r="B689" s="112">
        <v>5.5</v>
      </c>
      <c r="C689" s="111">
        <v>45586</v>
      </c>
      <c r="D689" s="110">
        <v>2024</v>
      </c>
      <c r="E689" s="102">
        <f t="shared" si="248"/>
        <v>-26.739999999999711</v>
      </c>
      <c r="F689" s="100">
        <f t="shared" si="249"/>
        <v>-32.239999999999711</v>
      </c>
      <c r="G689" s="101">
        <f t="shared" si="250"/>
        <v>9225</v>
      </c>
      <c r="H689" s="101">
        <f t="shared" si="251"/>
        <v>615</v>
      </c>
    </row>
    <row r="690" spans="1:8" ht="21" x14ac:dyDescent="0.4">
      <c r="A690" s="111" t="s">
        <v>25</v>
      </c>
      <c r="B690" s="112">
        <v>12.4</v>
      </c>
      <c r="C690" s="109">
        <v>45587</v>
      </c>
      <c r="D690" s="110">
        <v>2024</v>
      </c>
      <c r="E690" s="102">
        <f t="shared" ref="E690:E692" si="252">IF(C690=C689,F689,F689+15)</f>
        <v>-17.239999999999711</v>
      </c>
      <c r="F690" s="100">
        <f t="shared" ref="F690:F692" si="253">E690-B690</f>
        <v>-29.639999999999709</v>
      </c>
      <c r="G690" s="101">
        <f t="shared" ref="G690:G692" si="254">IF(C690&lt;&gt;C689, 15+G689,G689)</f>
        <v>9240</v>
      </c>
      <c r="H690" s="101">
        <f t="shared" ref="H690:H692" si="255">G690/15</f>
        <v>616</v>
      </c>
    </row>
    <row r="691" spans="1:8" ht="21" x14ac:dyDescent="0.4">
      <c r="A691" s="111" t="s">
        <v>25</v>
      </c>
      <c r="B691" s="112">
        <v>11</v>
      </c>
      <c r="C691" s="111">
        <v>45588</v>
      </c>
      <c r="D691" s="110">
        <v>2024</v>
      </c>
      <c r="E691" s="102">
        <f t="shared" si="252"/>
        <v>-14.639999999999709</v>
      </c>
      <c r="F691" s="100">
        <f t="shared" si="253"/>
        <v>-25.639999999999709</v>
      </c>
      <c r="G691" s="101">
        <f t="shared" si="254"/>
        <v>9255</v>
      </c>
      <c r="H691" s="101">
        <f t="shared" si="255"/>
        <v>617</v>
      </c>
    </row>
    <row r="692" spans="1:8" ht="21" x14ac:dyDescent="0.4">
      <c r="A692" s="111" t="s">
        <v>25</v>
      </c>
      <c r="B692" s="112">
        <v>26</v>
      </c>
      <c r="C692" s="109">
        <v>45589</v>
      </c>
      <c r="D692" s="110">
        <v>2024</v>
      </c>
      <c r="E692" s="102">
        <f t="shared" si="252"/>
        <v>-10.639999999999709</v>
      </c>
      <c r="F692" s="100">
        <f t="shared" si="253"/>
        <v>-36.639999999999709</v>
      </c>
      <c r="G692" s="101">
        <f t="shared" si="254"/>
        <v>9270</v>
      </c>
      <c r="H692" s="101">
        <f t="shared" si="255"/>
        <v>618</v>
      </c>
    </row>
    <row r="693" spans="1:8" ht="21" x14ac:dyDescent="0.4">
      <c r="A693" s="111" t="s">
        <v>112</v>
      </c>
      <c r="B693" s="112">
        <v>0</v>
      </c>
      <c r="C693" s="111">
        <v>45590</v>
      </c>
      <c r="D693" s="110">
        <v>2024</v>
      </c>
      <c r="E693" s="102">
        <f t="shared" ref="E693:E695" si="256">IF(C693=C692,F692,F692+15)</f>
        <v>-21.639999999999709</v>
      </c>
      <c r="F693" s="100">
        <f t="shared" ref="F693:F695" si="257">E693-B693</f>
        <v>-21.639999999999709</v>
      </c>
      <c r="G693" s="101">
        <f t="shared" ref="G693:G695" si="258">IF(C693&lt;&gt;C692, 15+G692,G692)</f>
        <v>9285</v>
      </c>
      <c r="H693" s="101">
        <f t="shared" ref="H693:H695" si="259">G693/15</f>
        <v>619</v>
      </c>
    </row>
    <row r="694" spans="1:8" ht="21" x14ac:dyDescent="0.4">
      <c r="A694" s="111" t="s">
        <v>25</v>
      </c>
      <c r="B694" s="112">
        <v>28</v>
      </c>
      <c r="C694" s="109">
        <v>45591</v>
      </c>
      <c r="D694" s="110">
        <v>2024</v>
      </c>
      <c r="E694" s="102">
        <f t="shared" si="256"/>
        <v>-6.6399999999997092</v>
      </c>
      <c r="F694" s="100">
        <f t="shared" si="257"/>
        <v>-34.639999999999709</v>
      </c>
      <c r="G694" s="101">
        <f t="shared" si="258"/>
        <v>9300</v>
      </c>
      <c r="H694" s="101">
        <f t="shared" si="259"/>
        <v>620</v>
      </c>
    </row>
    <row r="695" spans="1:8" ht="21" x14ac:dyDescent="0.4">
      <c r="A695" s="111" t="s">
        <v>25</v>
      </c>
      <c r="B695" s="112">
        <v>24</v>
      </c>
      <c r="C695" s="111">
        <v>45592</v>
      </c>
      <c r="D695" s="110">
        <v>2024</v>
      </c>
      <c r="E695" s="102">
        <f t="shared" si="256"/>
        <v>-19.639999999999709</v>
      </c>
      <c r="F695" s="100">
        <f t="shared" si="257"/>
        <v>-43.639999999999709</v>
      </c>
      <c r="G695" s="101">
        <f t="shared" si="258"/>
        <v>9315</v>
      </c>
      <c r="H695" s="101">
        <f t="shared" si="259"/>
        <v>621</v>
      </c>
    </row>
    <row r="696" spans="1:8" ht="21" x14ac:dyDescent="0.4">
      <c r="A696" s="111" t="s">
        <v>25</v>
      </c>
      <c r="B696" s="112">
        <v>15</v>
      </c>
      <c r="C696" s="109">
        <v>45593</v>
      </c>
      <c r="D696" s="110">
        <v>2024</v>
      </c>
      <c r="E696" s="102">
        <f t="shared" ref="E696:E697" si="260">IF(C696=C695,F695,F695+15)</f>
        <v>-28.639999999999709</v>
      </c>
      <c r="F696" s="100">
        <f t="shared" ref="F696:F697" si="261">E696-B696</f>
        <v>-43.639999999999709</v>
      </c>
      <c r="G696" s="101">
        <f t="shared" ref="G696:G697" si="262">IF(C696&lt;&gt;C695, 15+G695,G695)</f>
        <v>9330</v>
      </c>
      <c r="H696" s="101">
        <f t="shared" ref="H696:H697" si="263">G696/15</f>
        <v>622</v>
      </c>
    </row>
    <row r="697" spans="1:8" ht="21" x14ac:dyDescent="0.4">
      <c r="A697" s="111" t="s">
        <v>25</v>
      </c>
      <c r="B697" s="112">
        <v>18</v>
      </c>
      <c r="C697" s="111">
        <v>45594</v>
      </c>
      <c r="D697" s="110">
        <v>2024</v>
      </c>
      <c r="E697" s="102">
        <f t="shared" si="260"/>
        <v>-28.639999999999709</v>
      </c>
      <c r="F697" s="100">
        <f t="shared" si="261"/>
        <v>-46.639999999999709</v>
      </c>
      <c r="G697" s="101">
        <f t="shared" si="262"/>
        <v>9345</v>
      </c>
      <c r="H697" s="101">
        <f t="shared" si="263"/>
        <v>623</v>
      </c>
    </row>
    <row r="698" spans="1:8" ht="21" x14ac:dyDescent="0.4">
      <c r="A698" s="111" t="s">
        <v>112</v>
      </c>
      <c r="B698" s="112">
        <v>0</v>
      </c>
      <c r="C698" s="109">
        <v>45595</v>
      </c>
      <c r="D698" s="110">
        <v>2024</v>
      </c>
      <c r="E698" s="102">
        <f t="shared" ref="E698:E699" si="264">IF(C698=C697,F697,F697+15)</f>
        <v>-31.639999999999709</v>
      </c>
      <c r="F698" s="100">
        <f t="shared" ref="F698:F699" si="265">E698-B698</f>
        <v>-31.639999999999709</v>
      </c>
      <c r="G698" s="101">
        <f t="shared" ref="G698:G699" si="266">IF(C698&lt;&gt;C697, 15+G697,G697)</f>
        <v>9360</v>
      </c>
      <c r="H698" s="101">
        <f t="shared" ref="H698:H699" si="267">G698/15</f>
        <v>624</v>
      </c>
    </row>
    <row r="699" spans="1:8" ht="21" x14ac:dyDescent="0.4">
      <c r="A699" s="111" t="s">
        <v>112</v>
      </c>
      <c r="B699" s="112">
        <v>0</v>
      </c>
      <c r="C699" s="111">
        <v>45596</v>
      </c>
      <c r="D699" s="110">
        <v>2024</v>
      </c>
      <c r="E699" s="102">
        <f t="shared" si="264"/>
        <v>-16.639999999999709</v>
      </c>
      <c r="F699" s="100">
        <f t="shared" si="265"/>
        <v>-16.639999999999709</v>
      </c>
      <c r="G699" s="101">
        <f t="shared" si="266"/>
        <v>9375</v>
      </c>
      <c r="H699" s="101">
        <f t="shared" si="267"/>
        <v>625</v>
      </c>
    </row>
    <row r="700" spans="1:8" ht="21" x14ac:dyDescent="0.4">
      <c r="A700" s="111" t="s">
        <v>25</v>
      </c>
      <c r="B700" s="112">
        <v>9.5</v>
      </c>
      <c r="C700" s="109">
        <v>45597</v>
      </c>
      <c r="D700" s="110">
        <v>2024</v>
      </c>
      <c r="E700" s="102">
        <f t="shared" ref="E700:E706" si="268">IF(C700=C699,F699,F699+15)</f>
        <v>-1.6399999999997092</v>
      </c>
      <c r="F700" s="100">
        <f t="shared" ref="F700:F706" si="269">E700-B700</f>
        <v>-11.139999999999709</v>
      </c>
      <c r="G700" s="101">
        <f t="shared" ref="G700:G706" si="270">IF(C700&lt;&gt;C699, 15+G699,G699)</f>
        <v>9390</v>
      </c>
      <c r="H700" s="101">
        <f t="shared" ref="H700:H706" si="271">G700/15</f>
        <v>626</v>
      </c>
    </row>
    <row r="701" spans="1:8" ht="21" x14ac:dyDescent="0.4">
      <c r="A701" s="111" t="s">
        <v>25</v>
      </c>
      <c r="B701" s="112">
        <v>20</v>
      </c>
      <c r="C701" s="111">
        <v>45598</v>
      </c>
      <c r="D701" s="110">
        <v>2024</v>
      </c>
      <c r="E701" s="102">
        <f t="shared" si="268"/>
        <v>3.8600000000002908</v>
      </c>
      <c r="F701" s="100">
        <f t="shared" si="269"/>
        <v>-16.139999999999709</v>
      </c>
      <c r="G701" s="101">
        <f t="shared" si="270"/>
        <v>9405</v>
      </c>
      <c r="H701" s="101">
        <f t="shared" si="271"/>
        <v>627</v>
      </c>
    </row>
    <row r="702" spans="1:8" ht="21" x14ac:dyDescent="0.4">
      <c r="A702" s="111" t="s">
        <v>25</v>
      </c>
      <c r="B702" s="112">
        <v>27.5</v>
      </c>
      <c r="C702" s="109">
        <v>45599</v>
      </c>
      <c r="D702" s="110">
        <v>2024</v>
      </c>
      <c r="E702" s="102">
        <f t="shared" si="268"/>
        <v>-1.1399999999997092</v>
      </c>
      <c r="F702" s="100">
        <f t="shared" si="269"/>
        <v>-28.639999999999709</v>
      </c>
      <c r="G702" s="101">
        <f t="shared" si="270"/>
        <v>9420</v>
      </c>
      <c r="H702" s="101">
        <f t="shared" si="271"/>
        <v>628</v>
      </c>
    </row>
    <row r="703" spans="1:8" ht="21" x14ac:dyDescent="0.4">
      <c r="A703" s="111" t="s">
        <v>25</v>
      </c>
      <c r="B703" s="112">
        <v>50</v>
      </c>
      <c r="C703" s="111">
        <v>45600</v>
      </c>
      <c r="D703" s="110">
        <v>2024</v>
      </c>
      <c r="E703" s="102">
        <f t="shared" si="268"/>
        <v>-13.639999999999709</v>
      </c>
      <c r="F703" s="100">
        <f t="shared" si="269"/>
        <v>-63.639999999999709</v>
      </c>
      <c r="G703" s="101">
        <f t="shared" si="270"/>
        <v>9435</v>
      </c>
      <c r="H703" s="101">
        <f t="shared" si="271"/>
        <v>629</v>
      </c>
    </row>
    <row r="704" spans="1:8" ht="21" x14ac:dyDescent="0.4">
      <c r="A704" s="111" t="s">
        <v>25</v>
      </c>
      <c r="B704" s="112">
        <v>0</v>
      </c>
      <c r="C704" s="109">
        <v>45601</v>
      </c>
      <c r="D704" s="110">
        <v>2024</v>
      </c>
      <c r="E704" s="102">
        <f t="shared" si="268"/>
        <v>-48.639999999999709</v>
      </c>
      <c r="F704" s="100">
        <f t="shared" si="269"/>
        <v>-48.639999999999709</v>
      </c>
      <c r="G704" s="101">
        <f t="shared" si="270"/>
        <v>9450</v>
      </c>
      <c r="H704" s="101">
        <f t="shared" si="271"/>
        <v>630</v>
      </c>
    </row>
    <row r="705" spans="1:8" ht="21" x14ac:dyDescent="0.4">
      <c r="A705" s="111" t="s">
        <v>25</v>
      </c>
      <c r="B705" s="112">
        <v>32</v>
      </c>
      <c r="C705" s="111">
        <v>45602</v>
      </c>
      <c r="D705" s="110">
        <v>2024</v>
      </c>
      <c r="E705" s="102">
        <f t="shared" si="268"/>
        <v>-33.639999999999709</v>
      </c>
      <c r="F705" s="100">
        <f t="shared" si="269"/>
        <v>-65.639999999999702</v>
      </c>
      <c r="G705" s="101">
        <f t="shared" si="270"/>
        <v>9465</v>
      </c>
      <c r="H705" s="101">
        <f t="shared" si="271"/>
        <v>631</v>
      </c>
    </row>
    <row r="706" spans="1:8" ht="21" x14ac:dyDescent="0.4">
      <c r="A706" s="111" t="s">
        <v>25</v>
      </c>
      <c r="B706" s="112">
        <v>19</v>
      </c>
      <c r="C706" s="109">
        <v>45603</v>
      </c>
      <c r="D706" s="110">
        <v>2024</v>
      </c>
      <c r="E706" s="102">
        <f t="shared" si="268"/>
        <v>-50.639999999999702</v>
      </c>
      <c r="F706" s="100">
        <f t="shared" si="269"/>
        <v>-69.639999999999702</v>
      </c>
      <c r="G706" s="101">
        <f t="shared" si="270"/>
        <v>9480</v>
      </c>
      <c r="H706" s="101">
        <f t="shared" si="271"/>
        <v>632</v>
      </c>
    </row>
    <row r="707" spans="1:8" ht="21" x14ac:dyDescent="0.4">
      <c r="A707" s="111" t="s">
        <v>25</v>
      </c>
      <c r="B707" s="112">
        <v>50</v>
      </c>
      <c r="C707" s="111">
        <v>45604</v>
      </c>
      <c r="D707" s="110">
        <v>2024</v>
      </c>
      <c r="E707" s="102">
        <f t="shared" ref="E707:E709" si="272">IF(C707=C706,F706,F706+15)</f>
        <v>-54.639999999999702</v>
      </c>
      <c r="F707" s="100">
        <f t="shared" ref="F707:F709" si="273">E707-B707</f>
        <v>-104.6399999999997</v>
      </c>
      <c r="G707" s="101">
        <f t="shared" ref="G707:G709" si="274">IF(C707&lt;&gt;C706, 15+G706,G706)</f>
        <v>9495</v>
      </c>
      <c r="H707" s="101">
        <f t="shared" ref="H707:H709" si="275">G707/15</f>
        <v>633</v>
      </c>
    </row>
    <row r="708" spans="1:8" ht="21" x14ac:dyDescent="0.4">
      <c r="A708" s="111" t="s">
        <v>112</v>
      </c>
      <c r="B708" s="112">
        <v>0</v>
      </c>
      <c r="C708" s="109">
        <v>45605</v>
      </c>
      <c r="D708" s="110">
        <v>2024</v>
      </c>
      <c r="E708" s="102">
        <f t="shared" si="272"/>
        <v>-89.639999999999702</v>
      </c>
      <c r="F708" s="100">
        <f t="shared" si="273"/>
        <v>-89.639999999999702</v>
      </c>
      <c r="G708" s="101">
        <f t="shared" si="274"/>
        <v>9510</v>
      </c>
      <c r="H708" s="101">
        <f t="shared" si="275"/>
        <v>634</v>
      </c>
    </row>
    <row r="709" spans="1:8" ht="21" x14ac:dyDescent="0.4">
      <c r="A709" s="111" t="s">
        <v>112</v>
      </c>
      <c r="B709" s="112">
        <v>1.5</v>
      </c>
      <c r="C709" s="111">
        <v>45606</v>
      </c>
      <c r="D709" s="110">
        <v>2024</v>
      </c>
      <c r="E709" s="102">
        <f t="shared" si="272"/>
        <v>-74.639999999999702</v>
      </c>
      <c r="F709" s="100">
        <f t="shared" si="273"/>
        <v>-76.139999999999702</v>
      </c>
      <c r="G709" s="101">
        <f t="shared" si="274"/>
        <v>9525</v>
      </c>
      <c r="H709" s="101">
        <f t="shared" si="275"/>
        <v>635</v>
      </c>
    </row>
    <row r="710" spans="1:8" ht="21" x14ac:dyDescent="0.4">
      <c r="A710" s="111" t="s">
        <v>25</v>
      </c>
      <c r="B710" s="112">
        <v>4</v>
      </c>
      <c r="C710" s="109">
        <v>45607</v>
      </c>
      <c r="D710" s="110">
        <v>2024</v>
      </c>
      <c r="E710" s="102">
        <f t="shared" ref="E710:E711" si="276">IF(C710=C709,F709,F709+15)</f>
        <v>-61.139999999999702</v>
      </c>
      <c r="F710" s="100">
        <f t="shared" ref="F710:F711" si="277">E710-B710</f>
        <v>-65.139999999999702</v>
      </c>
      <c r="G710" s="101">
        <f t="shared" ref="G710:G711" si="278">IF(C710&lt;&gt;C709, 15+G709,G709)</f>
        <v>9540</v>
      </c>
      <c r="H710" s="101">
        <f t="shared" ref="H710:H711" si="279">G710/15</f>
        <v>636</v>
      </c>
    </row>
    <row r="711" spans="1:8" ht="21" x14ac:dyDescent="0.4">
      <c r="A711" s="111" t="s">
        <v>112</v>
      </c>
      <c r="B711" s="112">
        <v>0</v>
      </c>
      <c r="C711" s="111">
        <v>45608</v>
      </c>
      <c r="D711" s="110">
        <v>2024</v>
      </c>
      <c r="E711" s="102">
        <f t="shared" si="276"/>
        <v>-50.139999999999702</v>
      </c>
      <c r="F711" s="100">
        <f t="shared" si="277"/>
        <v>-50.139999999999702</v>
      </c>
      <c r="G711" s="101">
        <f t="shared" si="278"/>
        <v>9555</v>
      </c>
      <c r="H711" s="101">
        <f t="shared" si="279"/>
        <v>637</v>
      </c>
    </row>
    <row r="712" spans="1:8" ht="21" x14ac:dyDescent="0.4">
      <c r="A712" s="111" t="s">
        <v>112</v>
      </c>
      <c r="B712" s="112">
        <v>0</v>
      </c>
      <c r="C712" s="109">
        <v>45609</v>
      </c>
      <c r="D712" s="110">
        <v>2024</v>
      </c>
      <c r="E712" s="102">
        <f t="shared" ref="E712:E713" si="280">IF(C712=C711,F711,F711+15)</f>
        <v>-35.139999999999702</v>
      </c>
      <c r="F712" s="100">
        <f t="shared" ref="F712:F713" si="281">E712-B712</f>
        <v>-35.139999999999702</v>
      </c>
      <c r="G712" s="101">
        <f t="shared" ref="G712:G713" si="282">IF(C712&lt;&gt;C711, 15+G711,G711)</f>
        <v>9570</v>
      </c>
      <c r="H712" s="101">
        <f t="shared" ref="H712:H713" si="283">G712/15</f>
        <v>638</v>
      </c>
    </row>
    <row r="713" spans="1:8" ht="21" x14ac:dyDescent="0.4">
      <c r="A713" s="111" t="s">
        <v>112</v>
      </c>
      <c r="B713" s="112">
        <v>0</v>
      </c>
      <c r="C713" s="111">
        <v>45610</v>
      </c>
      <c r="D713" s="110">
        <v>2024</v>
      </c>
      <c r="E713" s="102">
        <f t="shared" si="280"/>
        <v>-20.139999999999702</v>
      </c>
      <c r="F713" s="100">
        <f t="shared" si="281"/>
        <v>-20.139999999999702</v>
      </c>
      <c r="G713" s="101">
        <f t="shared" si="282"/>
        <v>9585</v>
      </c>
      <c r="H713" s="101">
        <f t="shared" si="283"/>
        <v>639</v>
      </c>
    </row>
    <row r="714" spans="1:8" ht="21" x14ac:dyDescent="0.4">
      <c r="A714" s="111" t="s">
        <v>112</v>
      </c>
      <c r="B714" s="112">
        <v>0</v>
      </c>
      <c r="C714" s="109">
        <v>45611</v>
      </c>
      <c r="D714" s="110">
        <v>2024</v>
      </c>
      <c r="E714" s="102">
        <f t="shared" ref="E714:E715" si="284">IF(C714=C713,F713,F713+15)</f>
        <v>-5.1399999999997021</v>
      </c>
      <c r="F714" s="100">
        <f t="shared" ref="F714:F715" si="285">E714-B714</f>
        <v>-5.1399999999997021</v>
      </c>
      <c r="G714" s="101">
        <f t="shared" ref="G714:G715" si="286">IF(C714&lt;&gt;C713, 15+G713,G713)</f>
        <v>9600</v>
      </c>
      <c r="H714" s="101">
        <f t="shared" ref="H714:H715" si="287">G714/15</f>
        <v>640</v>
      </c>
    </row>
    <row r="715" spans="1:8" ht="21" x14ac:dyDescent="0.4">
      <c r="A715" s="111" t="s">
        <v>112</v>
      </c>
      <c r="B715" s="112">
        <v>0</v>
      </c>
      <c r="C715" s="111">
        <v>45612</v>
      </c>
      <c r="D715" s="110">
        <v>2024</v>
      </c>
      <c r="E715" s="102">
        <f t="shared" si="284"/>
        <v>9.8600000000002979</v>
      </c>
      <c r="F715" s="100">
        <f t="shared" si="285"/>
        <v>9.8600000000002979</v>
      </c>
      <c r="G715" s="101">
        <f t="shared" si="286"/>
        <v>9615</v>
      </c>
      <c r="H715" s="101">
        <f t="shared" si="287"/>
        <v>641</v>
      </c>
    </row>
    <row r="716" spans="1:8" ht="21" x14ac:dyDescent="0.4">
      <c r="A716" s="111" t="s">
        <v>112</v>
      </c>
      <c r="B716" s="112">
        <v>0</v>
      </c>
      <c r="C716" s="109">
        <v>45613</v>
      </c>
      <c r="D716" s="110">
        <v>2024</v>
      </c>
      <c r="E716" s="102">
        <f t="shared" ref="E716:E717" si="288">IF(C716=C715,F715,F715+15)</f>
        <v>24.860000000000298</v>
      </c>
      <c r="F716" s="100">
        <f t="shared" ref="F716:F717" si="289">E716-B716</f>
        <v>24.860000000000298</v>
      </c>
      <c r="G716" s="101">
        <f t="shared" ref="G716:G717" si="290">IF(C716&lt;&gt;C715, 15+G715,G715)</f>
        <v>9630</v>
      </c>
      <c r="H716" s="101">
        <f t="shared" ref="H716:H717" si="291">G716/15</f>
        <v>642</v>
      </c>
    </row>
    <row r="717" spans="1:8" ht="21" x14ac:dyDescent="0.4">
      <c r="A717" s="111" t="s">
        <v>25</v>
      </c>
      <c r="B717" s="112">
        <v>8</v>
      </c>
      <c r="C717" s="111">
        <v>45614</v>
      </c>
      <c r="D717" s="110">
        <v>2024</v>
      </c>
      <c r="E717" s="102">
        <f t="shared" si="288"/>
        <v>39.860000000000298</v>
      </c>
      <c r="F717" s="100">
        <f t="shared" si="289"/>
        <v>31.860000000000298</v>
      </c>
      <c r="G717" s="101">
        <f t="shared" si="290"/>
        <v>9645</v>
      </c>
      <c r="H717" s="101">
        <f t="shared" si="291"/>
        <v>643</v>
      </c>
    </row>
    <row r="718" spans="1:8" ht="21" x14ac:dyDescent="0.4">
      <c r="A718" s="111" t="s">
        <v>25</v>
      </c>
      <c r="B718" s="112">
        <v>5</v>
      </c>
      <c r="C718" s="109">
        <v>45615</v>
      </c>
      <c r="D718" s="110">
        <v>2024</v>
      </c>
      <c r="E718" s="102">
        <f t="shared" ref="E718:E719" si="292">IF(C718=C717,F717,F717+15)</f>
        <v>46.860000000000298</v>
      </c>
      <c r="F718" s="100">
        <f t="shared" ref="F718:F719" si="293">E718-B718</f>
        <v>41.860000000000298</v>
      </c>
      <c r="G718" s="101">
        <f t="shared" ref="G718:G719" si="294">IF(C718&lt;&gt;C717, 15+G717,G717)</f>
        <v>9660</v>
      </c>
      <c r="H718" s="101">
        <f t="shared" ref="H718:H719" si="295">G718/15</f>
        <v>644</v>
      </c>
    </row>
    <row r="719" spans="1:8" ht="21" x14ac:dyDescent="0.4">
      <c r="A719" s="111" t="s">
        <v>112</v>
      </c>
      <c r="B719" s="112">
        <v>0</v>
      </c>
      <c r="C719" s="111">
        <v>45616</v>
      </c>
      <c r="D719" s="110">
        <v>2024</v>
      </c>
      <c r="E719" s="102">
        <f t="shared" si="292"/>
        <v>56.860000000000298</v>
      </c>
      <c r="F719" s="100">
        <f t="shared" si="293"/>
        <v>56.860000000000298</v>
      </c>
      <c r="G719" s="101">
        <f t="shared" si="294"/>
        <v>9675</v>
      </c>
      <c r="H719" s="101">
        <f t="shared" si="295"/>
        <v>645</v>
      </c>
    </row>
    <row r="720" spans="1:8" ht="21" x14ac:dyDescent="0.4">
      <c r="A720" s="111" t="s">
        <v>25</v>
      </c>
      <c r="B720" s="112">
        <v>6.5</v>
      </c>
      <c r="C720" s="109">
        <v>45617</v>
      </c>
      <c r="D720" s="110">
        <v>2024</v>
      </c>
      <c r="E720" s="102">
        <f t="shared" ref="E720:E721" si="296">IF(C720=C719,F719,F719+15)</f>
        <v>71.860000000000298</v>
      </c>
      <c r="F720" s="100">
        <f t="shared" ref="F720:F721" si="297">E720-B720</f>
        <v>65.360000000000298</v>
      </c>
      <c r="G720" s="101">
        <f t="shared" ref="G720:G721" si="298">IF(C720&lt;&gt;C719, 15+G719,G719)</f>
        <v>9690</v>
      </c>
      <c r="H720" s="101">
        <f t="shared" ref="H720:H721" si="299">G720/15</f>
        <v>646</v>
      </c>
    </row>
    <row r="721" spans="1:8" ht="21" x14ac:dyDescent="0.4">
      <c r="A721" s="111" t="s">
        <v>25</v>
      </c>
      <c r="B721" s="112">
        <v>18</v>
      </c>
      <c r="C721" s="111">
        <v>45618</v>
      </c>
      <c r="D721" s="110">
        <v>2024</v>
      </c>
      <c r="E721" s="102">
        <f t="shared" si="296"/>
        <v>80.360000000000298</v>
      </c>
      <c r="F721" s="100">
        <f t="shared" si="297"/>
        <v>62.360000000000298</v>
      </c>
      <c r="G721" s="101">
        <f t="shared" si="298"/>
        <v>9705</v>
      </c>
      <c r="H721" s="101">
        <f t="shared" si="299"/>
        <v>647</v>
      </c>
    </row>
    <row r="722" spans="1:8" ht="21" x14ac:dyDescent="0.4">
      <c r="A722" s="111" t="s">
        <v>25</v>
      </c>
      <c r="B722" s="112">
        <v>5</v>
      </c>
      <c r="C722" s="109">
        <v>45619</v>
      </c>
      <c r="D722" s="110">
        <v>2024</v>
      </c>
      <c r="E722" s="102">
        <f t="shared" ref="E722:E723" si="300">IF(C722=C721,F721,F721+15)</f>
        <v>77.360000000000298</v>
      </c>
      <c r="F722" s="100">
        <f t="shared" ref="F722:F723" si="301">E722-B722</f>
        <v>72.360000000000298</v>
      </c>
      <c r="G722" s="101">
        <f t="shared" ref="G722:G723" si="302">IF(C722&lt;&gt;C721, 15+G721,G721)</f>
        <v>9720</v>
      </c>
      <c r="H722" s="101">
        <f t="shared" ref="H722:H723" si="303">G722/15</f>
        <v>648</v>
      </c>
    </row>
    <row r="723" spans="1:8" ht="21" x14ac:dyDescent="0.4">
      <c r="A723" s="111" t="s">
        <v>25</v>
      </c>
      <c r="B723" s="112">
        <v>35.5</v>
      </c>
      <c r="C723" s="111">
        <v>45620</v>
      </c>
      <c r="D723" s="112">
        <v>2024</v>
      </c>
      <c r="E723" s="102">
        <f t="shared" si="300"/>
        <v>87.360000000000298</v>
      </c>
      <c r="F723" s="100">
        <f t="shared" si="301"/>
        <v>51.860000000000298</v>
      </c>
      <c r="G723" s="101">
        <f t="shared" si="302"/>
        <v>9735</v>
      </c>
      <c r="H723" s="101">
        <f t="shared" si="303"/>
        <v>649</v>
      </c>
    </row>
    <row r="724" spans="1:8" ht="21" x14ac:dyDescent="0.4">
      <c r="A724" s="111" t="s">
        <v>25</v>
      </c>
      <c r="B724" s="112">
        <v>5</v>
      </c>
      <c r="C724" s="109">
        <v>45621</v>
      </c>
      <c r="D724" s="110">
        <v>2024</v>
      </c>
      <c r="E724" s="102">
        <f t="shared" ref="E724:E725" si="304">IF(C724=C723,F723,F723+15)</f>
        <v>66.860000000000298</v>
      </c>
      <c r="F724" s="100">
        <f t="shared" ref="F724:F725" si="305">E724-B724</f>
        <v>61.860000000000298</v>
      </c>
      <c r="G724" s="101">
        <f t="shared" ref="G724:G725" si="306">IF(C724&lt;&gt;C723, 15+G723,G723)</f>
        <v>9750</v>
      </c>
      <c r="H724" s="101">
        <f t="shared" ref="H724:H725" si="307">G724/15</f>
        <v>650</v>
      </c>
    </row>
    <row r="725" spans="1:8" ht="21" x14ac:dyDescent="0.4">
      <c r="A725" s="111" t="s">
        <v>25</v>
      </c>
      <c r="B725" s="112">
        <v>19.5</v>
      </c>
      <c r="C725" s="111">
        <v>45622</v>
      </c>
      <c r="D725" s="112">
        <v>2024</v>
      </c>
      <c r="E725" s="102">
        <f t="shared" si="304"/>
        <v>76.860000000000298</v>
      </c>
      <c r="F725" s="100">
        <f t="shared" si="305"/>
        <v>57.360000000000298</v>
      </c>
      <c r="G725" s="101">
        <f t="shared" si="306"/>
        <v>9765</v>
      </c>
      <c r="H725" s="101">
        <f t="shared" si="307"/>
        <v>651</v>
      </c>
    </row>
    <row r="726" spans="1:8" ht="21" x14ac:dyDescent="0.4">
      <c r="A726" s="111" t="s">
        <v>25</v>
      </c>
      <c r="B726" s="112">
        <v>60</v>
      </c>
      <c r="C726" s="109">
        <v>45623</v>
      </c>
      <c r="D726" s="110">
        <v>2024</v>
      </c>
      <c r="E726" s="102">
        <f t="shared" ref="E726:E727" si="308">IF(C726=C725,F725,F725+15)</f>
        <v>72.360000000000298</v>
      </c>
      <c r="F726" s="100">
        <f t="shared" ref="F726:F727" si="309">E726-B726</f>
        <v>12.360000000000298</v>
      </c>
      <c r="G726" s="101">
        <f t="shared" ref="G726:G727" si="310">IF(C726&lt;&gt;C725, 15+G725,G725)</f>
        <v>9780</v>
      </c>
      <c r="H726" s="101">
        <f t="shared" ref="H726:H727" si="311">G726/15</f>
        <v>652</v>
      </c>
    </row>
    <row r="727" spans="1:8" ht="21" x14ac:dyDescent="0.4">
      <c r="A727" s="111" t="s">
        <v>25</v>
      </c>
      <c r="B727" s="112">
        <v>13</v>
      </c>
      <c r="C727" s="111">
        <v>45624</v>
      </c>
      <c r="D727" s="112">
        <v>2024</v>
      </c>
      <c r="E727" s="102">
        <f t="shared" si="308"/>
        <v>27.360000000000298</v>
      </c>
      <c r="F727" s="100">
        <f t="shared" si="309"/>
        <v>14.360000000000298</v>
      </c>
      <c r="G727" s="101">
        <f t="shared" si="310"/>
        <v>9795</v>
      </c>
      <c r="H727" s="101">
        <f t="shared" si="311"/>
        <v>653</v>
      </c>
    </row>
    <row r="728" spans="1:8" ht="21" x14ac:dyDescent="0.4">
      <c r="A728" s="111" t="s">
        <v>25</v>
      </c>
      <c r="B728" s="112">
        <v>19</v>
      </c>
      <c r="C728" s="109">
        <v>45625</v>
      </c>
      <c r="D728" s="110">
        <v>2024</v>
      </c>
      <c r="E728" s="102">
        <f t="shared" ref="E728:E729" si="312">IF(C728=C727,F727,F727+15)</f>
        <v>29.360000000000298</v>
      </c>
      <c r="F728" s="100">
        <f t="shared" ref="F728:F729" si="313">E728-B728</f>
        <v>10.360000000000298</v>
      </c>
      <c r="G728" s="101">
        <f t="shared" ref="G728:G729" si="314">IF(C728&lt;&gt;C727, 15+G727,G727)</f>
        <v>9810</v>
      </c>
      <c r="H728" s="101">
        <f>G728/15</f>
        <v>654</v>
      </c>
    </row>
    <row r="729" spans="1:8" ht="21" x14ac:dyDescent="0.4">
      <c r="A729" s="111" t="s">
        <v>112</v>
      </c>
      <c r="B729" s="112">
        <v>0</v>
      </c>
      <c r="C729" s="111">
        <v>45626</v>
      </c>
      <c r="D729" s="112">
        <v>2024</v>
      </c>
      <c r="E729" s="102">
        <f t="shared" si="312"/>
        <v>25.360000000000298</v>
      </c>
      <c r="F729" s="100">
        <f t="shared" si="313"/>
        <v>25.360000000000298</v>
      </c>
      <c r="G729" s="101">
        <f t="shared" si="314"/>
        <v>9825</v>
      </c>
      <c r="H729" s="101">
        <f t="shared" ref="H729" si="315">G729/15</f>
        <v>655</v>
      </c>
    </row>
    <row r="730" spans="1:8" ht="21" x14ac:dyDescent="0.4">
      <c r="A730" s="111" t="s">
        <v>112</v>
      </c>
      <c r="B730" s="112">
        <v>0</v>
      </c>
      <c r="C730" s="109">
        <v>45627</v>
      </c>
      <c r="D730" s="110">
        <v>2024</v>
      </c>
      <c r="E730" s="102">
        <f t="shared" ref="E730:E731" si="316">IF(C730=C729,F729,F729+15)</f>
        <v>40.360000000000298</v>
      </c>
      <c r="F730" s="100">
        <f t="shared" ref="F730:F731" si="317">E730-B730</f>
        <v>40.360000000000298</v>
      </c>
      <c r="G730" s="101">
        <f t="shared" ref="G730:G731" si="318">IF(C730&lt;&gt;C729, 15+G729,G729)</f>
        <v>9840</v>
      </c>
      <c r="H730" s="101">
        <f>G730/15</f>
        <v>656</v>
      </c>
    </row>
    <row r="731" spans="1:8" ht="21" x14ac:dyDescent="0.4">
      <c r="A731" s="111" t="s">
        <v>112</v>
      </c>
      <c r="B731" s="112">
        <v>19</v>
      </c>
      <c r="C731" s="111">
        <v>45628</v>
      </c>
      <c r="D731" s="112">
        <v>2024</v>
      </c>
      <c r="E731" s="102">
        <f t="shared" si="316"/>
        <v>55.360000000000298</v>
      </c>
      <c r="F731" s="100">
        <f t="shared" si="317"/>
        <v>36.360000000000298</v>
      </c>
      <c r="G731" s="101">
        <f t="shared" si="318"/>
        <v>9855</v>
      </c>
      <c r="H731" s="101">
        <f t="shared" ref="H731:H732" si="319">G731/15</f>
        <v>657</v>
      </c>
    </row>
    <row r="732" spans="1:8" ht="21" x14ac:dyDescent="0.4">
      <c r="A732" s="111" t="s">
        <v>112</v>
      </c>
      <c r="B732" s="112">
        <v>0</v>
      </c>
      <c r="C732" s="109">
        <v>45629</v>
      </c>
      <c r="D732" s="110">
        <v>2024</v>
      </c>
      <c r="E732" s="102">
        <f t="shared" ref="E732:E735" si="320">IF(C732=C731,F731,F731+15)</f>
        <v>51.360000000000298</v>
      </c>
      <c r="F732" s="100">
        <f t="shared" ref="F732:F735" si="321">E732-B732</f>
        <v>51.360000000000298</v>
      </c>
      <c r="G732" s="101">
        <f t="shared" ref="G732:G735" si="322">IF(C732&lt;&gt;C731, 15+G731,G731)</f>
        <v>9870</v>
      </c>
      <c r="H732" s="101">
        <f t="shared" si="319"/>
        <v>658</v>
      </c>
    </row>
    <row r="733" spans="1:8" ht="21" x14ac:dyDescent="0.4">
      <c r="A733" s="111" t="s">
        <v>25</v>
      </c>
      <c r="B733" s="112">
        <v>14</v>
      </c>
      <c r="C733" s="111">
        <v>45630</v>
      </c>
      <c r="D733" s="112">
        <v>2024</v>
      </c>
      <c r="E733" s="102">
        <f t="shared" si="320"/>
        <v>66.360000000000298</v>
      </c>
      <c r="F733" s="100">
        <f t="shared" si="321"/>
        <v>52.360000000000298</v>
      </c>
      <c r="G733" s="101">
        <f t="shared" si="322"/>
        <v>9885</v>
      </c>
      <c r="H733" s="101">
        <f t="shared" ref="H733:H735" si="323">G733/15</f>
        <v>659</v>
      </c>
    </row>
    <row r="734" spans="1:8" ht="21" x14ac:dyDescent="0.4">
      <c r="A734" s="111" t="s">
        <v>25</v>
      </c>
      <c r="B734" s="112">
        <v>3.6</v>
      </c>
      <c r="C734" s="109">
        <v>45631</v>
      </c>
      <c r="D734" s="110">
        <v>2024</v>
      </c>
      <c r="E734" s="102">
        <f t="shared" si="320"/>
        <v>67.360000000000298</v>
      </c>
      <c r="F734" s="100">
        <f t="shared" si="321"/>
        <v>63.760000000000296</v>
      </c>
      <c r="G734" s="101">
        <f t="shared" si="322"/>
        <v>9900</v>
      </c>
      <c r="H734" s="101">
        <f t="shared" si="323"/>
        <v>660</v>
      </c>
    </row>
    <row r="735" spans="1:8" ht="21" x14ac:dyDescent="0.4">
      <c r="A735" s="111" t="s">
        <v>112</v>
      </c>
      <c r="B735" s="112">
        <v>0</v>
      </c>
      <c r="C735" s="111">
        <v>45632</v>
      </c>
      <c r="D735" s="112">
        <v>2024</v>
      </c>
      <c r="E735" s="102">
        <f t="shared" si="320"/>
        <v>78.760000000000304</v>
      </c>
      <c r="F735" s="100">
        <f t="shared" si="321"/>
        <v>78.760000000000304</v>
      </c>
      <c r="G735" s="101">
        <f t="shared" si="322"/>
        <v>9915</v>
      </c>
      <c r="H735" s="101">
        <f t="shared" si="323"/>
        <v>661</v>
      </c>
    </row>
    <row r="736" spans="1:8" ht="21" x14ac:dyDescent="0.4">
      <c r="A736" s="111" t="s">
        <v>112</v>
      </c>
      <c r="B736" s="112">
        <v>0</v>
      </c>
      <c r="C736" s="109">
        <v>45633</v>
      </c>
      <c r="D736" s="110">
        <v>2024</v>
      </c>
      <c r="E736" s="102">
        <f t="shared" ref="E736:E737" si="324">IF(C736=C735,F735,F735+15)</f>
        <v>93.760000000000304</v>
      </c>
      <c r="F736" s="100">
        <f t="shared" ref="F736:F737" si="325">E736-B736</f>
        <v>93.760000000000304</v>
      </c>
      <c r="G736" s="101">
        <f t="shared" ref="G736:G737" si="326">IF(C736&lt;&gt;C735, 15+G735,G735)</f>
        <v>9930</v>
      </c>
      <c r="H736" s="101">
        <f t="shared" ref="H736:H737" si="327">G736/15</f>
        <v>662</v>
      </c>
    </row>
    <row r="737" spans="1:8" ht="21" x14ac:dyDescent="0.4">
      <c r="A737" s="111" t="s">
        <v>112</v>
      </c>
      <c r="B737" s="112">
        <v>0</v>
      </c>
      <c r="C737" s="111">
        <v>45634</v>
      </c>
      <c r="D737" s="112">
        <v>2024</v>
      </c>
      <c r="E737" s="102">
        <f t="shared" si="324"/>
        <v>108.7600000000003</v>
      </c>
      <c r="F737" s="100">
        <f t="shared" si="325"/>
        <v>108.7600000000003</v>
      </c>
      <c r="G737" s="101">
        <f t="shared" si="326"/>
        <v>9945</v>
      </c>
      <c r="H737" s="101">
        <f t="shared" si="327"/>
        <v>663</v>
      </c>
    </row>
    <row r="738" spans="1:8" ht="21" x14ac:dyDescent="0.4">
      <c r="A738" s="111" t="s">
        <v>112</v>
      </c>
      <c r="B738" s="112">
        <v>0</v>
      </c>
      <c r="C738" s="109">
        <v>45635</v>
      </c>
      <c r="D738" s="110">
        <v>2024</v>
      </c>
      <c r="E738" s="102">
        <f t="shared" ref="E738:E741" si="328">IF(C738=C737,F737,F737+15)</f>
        <v>123.7600000000003</v>
      </c>
      <c r="F738" s="100">
        <f t="shared" ref="F738:F741" si="329">E738-B738</f>
        <v>123.7600000000003</v>
      </c>
      <c r="G738" s="101">
        <f t="shared" ref="G738:G741" si="330">IF(C738&lt;&gt;C737, 15+G737,G737)</f>
        <v>9960</v>
      </c>
      <c r="H738" s="101">
        <f t="shared" ref="H738:H741" si="331">G738/15</f>
        <v>664</v>
      </c>
    </row>
    <row r="739" spans="1:8" ht="21" x14ac:dyDescent="0.4">
      <c r="A739" s="111" t="s">
        <v>112</v>
      </c>
      <c r="B739" s="112">
        <v>0</v>
      </c>
      <c r="C739" s="111">
        <v>45636</v>
      </c>
      <c r="D739" s="112">
        <v>2024</v>
      </c>
      <c r="E739" s="102">
        <f t="shared" si="328"/>
        <v>138.7600000000003</v>
      </c>
      <c r="F739" s="100">
        <f t="shared" si="329"/>
        <v>138.7600000000003</v>
      </c>
      <c r="G739" s="101">
        <f t="shared" si="330"/>
        <v>9975</v>
      </c>
      <c r="H739" s="101">
        <f t="shared" si="331"/>
        <v>665</v>
      </c>
    </row>
    <row r="740" spans="1:8" ht="21" x14ac:dyDescent="0.4">
      <c r="A740" s="111" t="s">
        <v>112</v>
      </c>
      <c r="B740" s="112">
        <v>10</v>
      </c>
      <c r="C740" s="109">
        <v>45637</v>
      </c>
      <c r="D740" s="110">
        <v>2024</v>
      </c>
      <c r="E740" s="102">
        <f t="shared" si="328"/>
        <v>153.7600000000003</v>
      </c>
      <c r="F740" s="100">
        <f t="shared" si="329"/>
        <v>143.7600000000003</v>
      </c>
      <c r="G740" s="101">
        <f t="shared" si="330"/>
        <v>9990</v>
      </c>
      <c r="H740" s="101">
        <f t="shared" si="331"/>
        <v>666</v>
      </c>
    </row>
    <row r="741" spans="1:8" ht="21" x14ac:dyDescent="0.4">
      <c r="A741" s="111" t="s">
        <v>25</v>
      </c>
      <c r="B741" s="112">
        <v>58</v>
      </c>
      <c r="C741" s="111">
        <v>45638</v>
      </c>
      <c r="D741" s="112">
        <v>2024</v>
      </c>
      <c r="E741" s="102">
        <f t="shared" si="328"/>
        <v>158.7600000000003</v>
      </c>
      <c r="F741" s="100">
        <f t="shared" si="329"/>
        <v>100.7600000000003</v>
      </c>
      <c r="G741" s="101">
        <f t="shared" si="330"/>
        <v>10005</v>
      </c>
      <c r="H741" s="101">
        <f t="shared" si="331"/>
        <v>667</v>
      </c>
    </row>
    <row r="742" spans="1:8" ht="21" x14ac:dyDescent="0.4">
      <c r="A742" s="111" t="s">
        <v>25</v>
      </c>
      <c r="B742" s="112">
        <v>3.6</v>
      </c>
      <c r="C742" s="109">
        <v>45639</v>
      </c>
      <c r="D742" s="110">
        <v>2024</v>
      </c>
      <c r="E742" s="102">
        <f t="shared" ref="E742:E743" si="332">IF(C742=C741,F741,F741+15)</f>
        <v>115.7600000000003</v>
      </c>
      <c r="F742" s="100">
        <f t="shared" ref="F742:F743" si="333">E742-B742</f>
        <v>112.16000000000031</v>
      </c>
      <c r="G742" s="101">
        <f t="shared" ref="G742:G743" si="334">IF(C742&lt;&gt;C741, 15+G741,G741)</f>
        <v>10020</v>
      </c>
      <c r="H742" s="101">
        <f t="shared" ref="H742:H743" si="335">G742/15</f>
        <v>668</v>
      </c>
    </row>
    <row r="743" spans="1:8" ht="21" x14ac:dyDescent="0.4">
      <c r="A743" s="111" t="s">
        <v>25</v>
      </c>
      <c r="B743" s="112">
        <v>11</v>
      </c>
      <c r="C743" s="111">
        <v>45640</v>
      </c>
      <c r="D743" s="112">
        <v>2024</v>
      </c>
      <c r="E743" s="102">
        <f t="shared" si="332"/>
        <v>127.16000000000031</v>
      </c>
      <c r="F743" s="100">
        <f t="shared" si="333"/>
        <v>116.16000000000031</v>
      </c>
      <c r="G743" s="101">
        <f t="shared" si="334"/>
        <v>10035</v>
      </c>
      <c r="H743" s="101">
        <f t="shared" si="335"/>
        <v>669</v>
      </c>
    </row>
    <row r="744" spans="1:8" ht="21" x14ac:dyDescent="0.4">
      <c r="A744" s="111" t="s">
        <v>25</v>
      </c>
      <c r="B744" s="112">
        <v>0</v>
      </c>
      <c r="C744" s="109">
        <v>45641</v>
      </c>
      <c r="D744" s="110">
        <v>2024</v>
      </c>
      <c r="E744" s="102">
        <f t="shared" ref="E744:E746" si="336">IF(C744=C743,F743,F743+15)</f>
        <v>131.16000000000031</v>
      </c>
      <c r="F744" s="100">
        <f t="shared" ref="F744:F746" si="337">E744-B744</f>
        <v>131.16000000000031</v>
      </c>
      <c r="G744" s="101">
        <f t="shared" ref="G744:G746" si="338">IF(C744&lt;&gt;C743, 15+G743,G743)</f>
        <v>10050</v>
      </c>
      <c r="H744" s="101">
        <f t="shared" ref="H744:H746" si="339">G744/15</f>
        <v>670</v>
      </c>
    </row>
    <row r="745" spans="1:8" ht="21" x14ac:dyDescent="0.4">
      <c r="A745" s="111" t="s">
        <v>25</v>
      </c>
      <c r="B745" s="112">
        <v>16</v>
      </c>
      <c r="C745" s="111">
        <v>45642</v>
      </c>
      <c r="D745" s="112">
        <v>2024</v>
      </c>
      <c r="E745" s="102">
        <f t="shared" si="336"/>
        <v>146.16000000000031</v>
      </c>
      <c r="F745" s="100">
        <f t="shared" si="337"/>
        <v>130.16000000000031</v>
      </c>
      <c r="G745" s="101">
        <f t="shared" si="338"/>
        <v>10065</v>
      </c>
      <c r="H745" s="101">
        <f t="shared" si="339"/>
        <v>671</v>
      </c>
    </row>
    <row r="746" spans="1:8" ht="21" x14ac:dyDescent="0.4">
      <c r="A746" s="111" t="s">
        <v>25</v>
      </c>
      <c r="B746" s="112">
        <v>23</v>
      </c>
      <c r="C746" s="109">
        <v>45643</v>
      </c>
      <c r="D746" s="110">
        <v>2024</v>
      </c>
      <c r="E746" s="102">
        <f t="shared" si="336"/>
        <v>145.16000000000031</v>
      </c>
      <c r="F746" s="100">
        <f t="shared" si="337"/>
        <v>122.16000000000031</v>
      </c>
      <c r="G746" s="101">
        <f t="shared" si="338"/>
        <v>10080</v>
      </c>
      <c r="H746" s="101">
        <f t="shared" si="339"/>
        <v>672</v>
      </c>
    </row>
    <row r="747" spans="1:8" ht="21" x14ac:dyDescent="0.4">
      <c r="A747" s="111" t="s">
        <v>25</v>
      </c>
      <c r="B747" s="112">
        <v>40</v>
      </c>
      <c r="C747" s="111">
        <v>45644</v>
      </c>
      <c r="D747" s="112">
        <v>2024</v>
      </c>
      <c r="E747" s="102">
        <f t="shared" ref="E747:E749" si="340">IF(C747=C746,F746,F746+15)</f>
        <v>137.16000000000031</v>
      </c>
      <c r="F747" s="100">
        <f t="shared" ref="F747:F749" si="341">E747-B747</f>
        <v>97.160000000000309</v>
      </c>
      <c r="G747" s="101">
        <f t="shared" ref="G747:G749" si="342">IF(C747&lt;&gt;C746, 15+G746,G746)</f>
        <v>10095</v>
      </c>
      <c r="H747" s="101">
        <f t="shared" ref="H747:H749" si="343">G747/15</f>
        <v>673</v>
      </c>
    </row>
    <row r="748" spans="1:8" ht="21" x14ac:dyDescent="0.4">
      <c r="A748" s="111" t="s">
        <v>25</v>
      </c>
      <c r="B748" s="112">
        <v>48</v>
      </c>
      <c r="C748" s="109">
        <v>45645</v>
      </c>
      <c r="D748" s="110">
        <v>2024</v>
      </c>
      <c r="E748" s="102">
        <f t="shared" si="340"/>
        <v>112.16000000000031</v>
      </c>
      <c r="F748" s="100">
        <f t="shared" si="341"/>
        <v>64.160000000000309</v>
      </c>
      <c r="G748" s="101">
        <f t="shared" si="342"/>
        <v>10110</v>
      </c>
      <c r="H748" s="101">
        <f t="shared" si="343"/>
        <v>674</v>
      </c>
    </row>
    <row r="749" spans="1:8" ht="21" x14ac:dyDescent="0.4">
      <c r="A749" s="111" t="s">
        <v>25</v>
      </c>
      <c r="B749" s="112">
        <v>3.6</v>
      </c>
      <c r="C749" s="111">
        <v>45646</v>
      </c>
      <c r="D749" s="112">
        <v>2024</v>
      </c>
      <c r="E749" s="102">
        <f t="shared" si="340"/>
        <v>79.160000000000309</v>
      </c>
      <c r="F749" s="100">
        <f t="shared" si="341"/>
        <v>75.560000000000315</v>
      </c>
      <c r="G749" s="101">
        <f t="shared" si="342"/>
        <v>10125</v>
      </c>
      <c r="H749" s="101">
        <f t="shared" si="343"/>
        <v>675</v>
      </c>
    </row>
    <row r="750" spans="1:8" ht="21" x14ac:dyDescent="0.4">
      <c r="A750" s="111" t="s">
        <v>25</v>
      </c>
      <c r="B750" s="112">
        <v>65</v>
      </c>
      <c r="C750" s="109">
        <v>45647</v>
      </c>
      <c r="D750" s="110">
        <v>2024</v>
      </c>
      <c r="E750" s="102">
        <f t="shared" ref="E750:E751" si="344">IF(C750=C749,F749,F749+15)</f>
        <v>90.560000000000315</v>
      </c>
      <c r="F750" s="100">
        <f t="shared" ref="F750:F751" si="345">E750-B750</f>
        <v>25.560000000000315</v>
      </c>
      <c r="G750" s="101">
        <f t="shared" ref="G750:G751" si="346">IF(C750&lt;&gt;C749, 15+G749,G749)</f>
        <v>10140</v>
      </c>
      <c r="H750" s="101">
        <f t="shared" ref="H750:H751" si="347">G750/15</f>
        <v>676</v>
      </c>
    </row>
    <row r="751" spans="1:8" ht="21" x14ac:dyDescent="0.4">
      <c r="A751" s="111" t="s">
        <v>112</v>
      </c>
      <c r="B751" s="112">
        <v>0</v>
      </c>
      <c r="C751" s="111">
        <v>45648</v>
      </c>
      <c r="D751" s="112">
        <v>2024</v>
      </c>
      <c r="E751" s="102">
        <f t="shared" si="344"/>
        <v>40.560000000000315</v>
      </c>
      <c r="F751" s="100">
        <f t="shared" si="345"/>
        <v>40.560000000000315</v>
      </c>
      <c r="G751" s="101">
        <f t="shared" si="346"/>
        <v>10155</v>
      </c>
      <c r="H751" s="101">
        <f t="shared" si="347"/>
        <v>677</v>
      </c>
    </row>
    <row r="752" spans="1:8" ht="21" x14ac:dyDescent="0.4">
      <c r="A752" s="111" t="s">
        <v>25</v>
      </c>
      <c r="B752" s="112">
        <v>25</v>
      </c>
      <c r="C752" s="109">
        <v>45649</v>
      </c>
      <c r="D752" s="110">
        <v>2024</v>
      </c>
      <c r="E752" s="102">
        <f t="shared" ref="E752:E753" si="348">IF(C752=C751,F751,F751+15)</f>
        <v>55.560000000000315</v>
      </c>
      <c r="F752" s="100">
        <f t="shared" ref="F752:F753" si="349">E752-B752</f>
        <v>30.560000000000315</v>
      </c>
      <c r="G752" s="101">
        <f t="shared" ref="G752:G753" si="350">IF(C752&lt;&gt;C751, 15+G751,G751)</f>
        <v>10170</v>
      </c>
      <c r="H752" s="101">
        <f t="shared" ref="H752:H753" si="351">G752/15</f>
        <v>678</v>
      </c>
    </row>
    <row r="753" spans="1:8" ht="21" x14ac:dyDescent="0.4">
      <c r="A753" s="111" t="s">
        <v>25</v>
      </c>
      <c r="B753" s="112">
        <v>15</v>
      </c>
      <c r="C753" s="111">
        <v>45650</v>
      </c>
      <c r="D753" s="112">
        <v>2024</v>
      </c>
      <c r="E753" s="102">
        <f t="shared" si="348"/>
        <v>45.560000000000315</v>
      </c>
      <c r="F753" s="100">
        <f t="shared" si="349"/>
        <v>30.560000000000315</v>
      </c>
      <c r="G753" s="101">
        <f t="shared" si="350"/>
        <v>10185</v>
      </c>
      <c r="H753" s="101">
        <f t="shared" si="351"/>
        <v>679</v>
      </c>
    </row>
    <row r="754" spans="1:8" ht="21" x14ac:dyDescent="0.4">
      <c r="A754" s="111" t="s">
        <v>25</v>
      </c>
      <c r="B754" s="112">
        <v>4</v>
      </c>
      <c r="C754" s="109">
        <v>45651</v>
      </c>
      <c r="D754" s="110">
        <v>2024</v>
      </c>
      <c r="E754" s="102">
        <f t="shared" ref="E754:E755" si="352">IF(C754=C753,F753,F753+15)</f>
        <v>45.560000000000315</v>
      </c>
      <c r="F754" s="100">
        <f t="shared" ref="F754:F755" si="353">E754-B754</f>
        <v>41.560000000000315</v>
      </c>
      <c r="G754" s="101">
        <f t="shared" ref="G754:G755" si="354">IF(C754&lt;&gt;C753, 15+G753,G753)</f>
        <v>10200</v>
      </c>
      <c r="H754" s="101">
        <f t="shared" ref="H754:H755" si="355">G754/15</f>
        <v>680</v>
      </c>
    </row>
    <row r="755" spans="1:8" ht="21" x14ac:dyDescent="0.4">
      <c r="A755" s="111" t="s">
        <v>25</v>
      </c>
      <c r="B755" s="112">
        <v>28</v>
      </c>
      <c r="C755" s="111">
        <v>45652</v>
      </c>
      <c r="D755" s="112">
        <v>2024</v>
      </c>
      <c r="E755" s="102">
        <f t="shared" si="352"/>
        <v>56.560000000000315</v>
      </c>
      <c r="F755" s="100">
        <f t="shared" si="353"/>
        <v>28.560000000000315</v>
      </c>
      <c r="G755" s="101">
        <f t="shared" si="354"/>
        <v>10215</v>
      </c>
      <c r="H755" s="101">
        <f t="shared" si="355"/>
        <v>681</v>
      </c>
    </row>
    <row r="756" spans="1:8" ht="21" x14ac:dyDescent="0.4">
      <c r="A756" s="111" t="s">
        <v>25</v>
      </c>
      <c r="B756" s="112">
        <v>20</v>
      </c>
      <c r="C756" s="109">
        <v>45653</v>
      </c>
      <c r="D756" s="110">
        <v>2024</v>
      </c>
      <c r="E756" s="102">
        <f t="shared" ref="E756" si="356">IF(C756=C755,F755,F755+15)</f>
        <v>43.560000000000315</v>
      </c>
      <c r="F756" s="100">
        <f t="shared" ref="F756" si="357">E756-B756</f>
        <v>23.560000000000315</v>
      </c>
      <c r="G756" s="101">
        <f t="shared" ref="G756" si="358">IF(C756&lt;&gt;C755, 15+G755,G755)</f>
        <v>10230</v>
      </c>
      <c r="H756" s="101">
        <f t="shared" ref="H756" si="359">G756/15</f>
        <v>682</v>
      </c>
    </row>
    <row r="757" spans="1:8" ht="21" x14ac:dyDescent="0.4">
      <c r="A757" s="117" t="s">
        <v>32</v>
      </c>
      <c r="B757" s="118">
        <f>SUM(B2:B756)</f>
        <v>10206.44</v>
      </c>
      <c r="C757" s="119"/>
      <c r="D757" s="119"/>
      <c r="E757" s="119"/>
      <c r="F757" s="119"/>
      <c r="G757" s="119" t="s">
        <v>114</v>
      </c>
      <c r="H757" s="120">
        <f>B757/H756</f>
        <v>14.965454545454547</v>
      </c>
    </row>
    <row r="758" spans="1:8" x14ac:dyDescent="0.3">
      <c r="H758" s="120"/>
    </row>
    <row r="762" spans="1:8" x14ac:dyDescent="0.3">
      <c r="C762" t="s">
        <v>136</v>
      </c>
    </row>
  </sheetData>
  <autoFilter ref="A1:H601" xr:uid="{15C27034-A052-4389-B269-F5429BB2EEF9}"/>
  <conditionalFormatting sqref="B1:B757">
    <cfRule type="cellIs" dxfId="3" priority="1" operator="between">
      <formula>10.01</formula>
      <formula>14.99</formula>
    </cfRule>
    <cfRule type="cellIs" dxfId="2" priority="2" operator="lessThan">
      <formula>10</formula>
    </cfRule>
    <cfRule type="cellIs" dxfId="1" priority="3" operator="lessThan">
      <formula>5</formula>
    </cfRule>
    <cfRule type="cellIs" dxfId="0" priority="4" operator="greaterThan">
      <formula>15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AE2E7-17DE-4D52-B268-F807E5C09E1F}">
  <sheetPr codeName="Sheet12">
    <tabColor rgb="FFFF0000"/>
  </sheetPr>
  <dimension ref="A1:B95"/>
  <sheetViews>
    <sheetView zoomScale="95" workbookViewId="0">
      <selection activeCell="F88" sqref="F88"/>
    </sheetView>
  </sheetViews>
  <sheetFormatPr defaultRowHeight="14.4" x14ac:dyDescent="0.3"/>
  <cols>
    <col min="1" max="2" width="12.77734375" bestFit="1" customWidth="1"/>
    <col min="3" max="3" width="18.109375" bestFit="1" customWidth="1"/>
  </cols>
  <sheetData>
    <row r="1" spans="1:2" x14ac:dyDescent="0.3">
      <c r="A1" s="114" t="s">
        <v>115</v>
      </c>
      <c r="B1" t="s">
        <v>116</v>
      </c>
    </row>
    <row r="2" spans="1:2" x14ac:dyDescent="0.3">
      <c r="A2" s="115" t="s">
        <v>25</v>
      </c>
      <c r="B2">
        <v>12375</v>
      </c>
    </row>
    <row r="3" spans="1:2" x14ac:dyDescent="0.3">
      <c r="A3" s="115" t="s">
        <v>22</v>
      </c>
      <c r="B3">
        <v>12375</v>
      </c>
    </row>
    <row r="4" spans="1:2" x14ac:dyDescent="0.3">
      <c r="A4" s="115" t="s">
        <v>31</v>
      </c>
      <c r="B4">
        <v>27500</v>
      </c>
    </row>
    <row r="5" spans="1:2" x14ac:dyDescent="0.3">
      <c r="A5" s="115" t="s">
        <v>19</v>
      </c>
      <c r="B5">
        <v>59583.333333333328</v>
      </c>
    </row>
    <row r="6" spans="1:2" x14ac:dyDescent="0.3">
      <c r="A6" s="115" t="s">
        <v>16</v>
      </c>
      <c r="B6">
        <v>143000</v>
      </c>
    </row>
    <row r="7" spans="1:2" x14ac:dyDescent="0.3">
      <c r="A7" s="115" t="s">
        <v>117</v>
      </c>
      <c r="B7">
        <v>254833.33333333331</v>
      </c>
    </row>
    <row r="19" spans="1:2" x14ac:dyDescent="0.3">
      <c r="A19" s="114" t="s">
        <v>115</v>
      </c>
      <c r="B19" t="s">
        <v>118</v>
      </c>
    </row>
    <row r="20" spans="1:2" x14ac:dyDescent="0.3">
      <c r="A20" s="115" t="s">
        <v>119</v>
      </c>
      <c r="B20">
        <v>0</v>
      </c>
    </row>
    <row r="21" spans="1:2" x14ac:dyDescent="0.3">
      <c r="A21" s="116" t="s">
        <v>120</v>
      </c>
      <c r="B21">
        <v>0</v>
      </c>
    </row>
    <row r="22" spans="1:2" x14ac:dyDescent="0.3">
      <c r="A22" s="115" t="s">
        <v>121</v>
      </c>
      <c r="B22">
        <v>11597.34</v>
      </c>
    </row>
    <row r="23" spans="1:2" x14ac:dyDescent="0.3">
      <c r="A23" s="116" t="s">
        <v>122</v>
      </c>
      <c r="B23">
        <v>516.79999999999995</v>
      </c>
    </row>
    <row r="24" spans="1:2" x14ac:dyDescent="0.3">
      <c r="A24" s="116" t="s">
        <v>123</v>
      </c>
      <c r="B24">
        <v>81.3</v>
      </c>
    </row>
    <row r="25" spans="1:2" x14ac:dyDescent="0.3">
      <c r="A25" s="116" t="s">
        <v>124</v>
      </c>
      <c r="B25">
        <v>1028.7800000000002</v>
      </c>
    </row>
    <row r="26" spans="1:2" x14ac:dyDescent="0.3">
      <c r="A26" s="116" t="s">
        <v>125</v>
      </c>
      <c r="B26">
        <v>859.49</v>
      </c>
    </row>
    <row r="27" spans="1:2" x14ac:dyDescent="0.3">
      <c r="A27" s="116" t="s">
        <v>126</v>
      </c>
      <c r="B27">
        <v>898.74</v>
      </c>
    </row>
    <row r="28" spans="1:2" x14ac:dyDescent="0.3">
      <c r="A28" s="116" t="s">
        <v>127</v>
      </c>
      <c r="B28">
        <v>951.5</v>
      </c>
    </row>
    <row r="29" spans="1:2" x14ac:dyDescent="0.3">
      <c r="A29" s="116" t="s">
        <v>128</v>
      </c>
      <c r="B29">
        <v>1437.08</v>
      </c>
    </row>
    <row r="30" spans="1:2" x14ac:dyDescent="0.3">
      <c r="A30" s="116" t="s">
        <v>129</v>
      </c>
      <c r="B30">
        <v>885.2</v>
      </c>
    </row>
    <row r="31" spans="1:2" x14ac:dyDescent="0.3">
      <c r="A31" s="116" t="s">
        <v>120</v>
      </c>
      <c r="B31">
        <v>1005.45</v>
      </c>
    </row>
    <row r="32" spans="1:2" x14ac:dyDescent="0.3">
      <c r="A32" s="116" t="s">
        <v>130</v>
      </c>
      <c r="B32">
        <v>2637</v>
      </c>
    </row>
    <row r="33" spans="1:2" x14ac:dyDescent="0.3">
      <c r="A33" s="116" t="s">
        <v>131</v>
      </c>
      <c r="B33">
        <v>1296</v>
      </c>
    </row>
    <row r="34" spans="1:2" x14ac:dyDescent="0.3">
      <c r="A34" s="115" t="s">
        <v>132</v>
      </c>
      <c r="B34">
        <v>9193</v>
      </c>
    </row>
    <row r="35" spans="1:2" x14ac:dyDescent="0.3">
      <c r="A35" s="116" t="s">
        <v>122</v>
      </c>
      <c r="B35">
        <v>2300</v>
      </c>
    </row>
    <row r="36" spans="1:2" x14ac:dyDescent="0.3">
      <c r="A36" s="116" t="s">
        <v>125</v>
      </c>
      <c r="B36">
        <v>5329</v>
      </c>
    </row>
    <row r="37" spans="1:2" x14ac:dyDescent="0.3">
      <c r="A37" s="116" t="s">
        <v>126</v>
      </c>
      <c r="B37">
        <v>1564</v>
      </c>
    </row>
    <row r="38" spans="1:2" x14ac:dyDescent="0.3">
      <c r="A38" s="115" t="s">
        <v>117</v>
      </c>
      <c r="B38">
        <v>20790.34</v>
      </c>
    </row>
    <row r="43" spans="1:2" x14ac:dyDescent="0.3">
      <c r="A43" s="114" t="s">
        <v>115</v>
      </c>
      <c r="B43" t="s">
        <v>118</v>
      </c>
    </row>
    <row r="44" spans="1:2" x14ac:dyDescent="0.3">
      <c r="A44" s="115" t="s">
        <v>119</v>
      </c>
      <c r="B44">
        <v>0</v>
      </c>
    </row>
    <row r="45" spans="1:2" x14ac:dyDescent="0.3">
      <c r="A45" s="116" t="s">
        <v>120</v>
      </c>
      <c r="B45">
        <v>0</v>
      </c>
    </row>
    <row r="46" spans="1:2" x14ac:dyDescent="0.3">
      <c r="A46" s="115" t="s">
        <v>121</v>
      </c>
      <c r="B46">
        <v>2686</v>
      </c>
    </row>
    <row r="47" spans="1:2" x14ac:dyDescent="0.3">
      <c r="A47" s="116" t="s">
        <v>126</v>
      </c>
      <c r="B47">
        <v>2522.8000000000002</v>
      </c>
    </row>
    <row r="48" spans="1:2" x14ac:dyDescent="0.3">
      <c r="A48" s="116" t="s">
        <v>127</v>
      </c>
      <c r="B48">
        <v>0</v>
      </c>
    </row>
    <row r="49" spans="1:2" x14ac:dyDescent="0.3">
      <c r="A49" s="116" t="s">
        <v>120</v>
      </c>
      <c r="B49">
        <v>163.19999999999999</v>
      </c>
    </row>
    <row r="50" spans="1:2" x14ac:dyDescent="0.3">
      <c r="A50" s="115" t="s">
        <v>132</v>
      </c>
      <c r="B50">
        <v>5549</v>
      </c>
    </row>
    <row r="51" spans="1:2" x14ac:dyDescent="0.3">
      <c r="A51" s="116" t="s">
        <v>123</v>
      </c>
      <c r="B51">
        <v>5549</v>
      </c>
    </row>
    <row r="52" spans="1:2" x14ac:dyDescent="0.3">
      <c r="A52" s="116" t="s">
        <v>120</v>
      </c>
      <c r="B52">
        <v>0</v>
      </c>
    </row>
    <row r="53" spans="1:2" x14ac:dyDescent="0.3">
      <c r="A53" s="115" t="s">
        <v>117</v>
      </c>
      <c r="B53">
        <v>8235</v>
      </c>
    </row>
    <row r="58" spans="1:2" x14ac:dyDescent="0.3">
      <c r="A58" s="114" t="s">
        <v>115</v>
      </c>
      <c r="B58" t="s">
        <v>133</v>
      </c>
    </row>
    <row r="59" spans="1:2" x14ac:dyDescent="0.3">
      <c r="A59" s="115" t="s">
        <v>119</v>
      </c>
    </row>
    <row r="60" spans="1:2" x14ac:dyDescent="0.3">
      <c r="A60" s="116" t="s">
        <v>120</v>
      </c>
      <c r="B60">
        <v>820930</v>
      </c>
    </row>
    <row r="61" spans="1:2" x14ac:dyDescent="0.3">
      <c r="A61" s="115" t="s">
        <v>121</v>
      </c>
    </row>
    <row r="62" spans="1:2" x14ac:dyDescent="0.3">
      <c r="A62" s="116" t="s">
        <v>126</v>
      </c>
      <c r="B62">
        <v>0</v>
      </c>
    </row>
    <row r="63" spans="1:2" x14ac:dyDescent="0.3">
      <c r="A63" s="116" t="s">
        <v>127</v>
      </c>
      <c r="B63">
        <v>717937</v>
      </c>
    </row>
    <row r="64" spans="1:2" x14ac:dyDescent="0.3">
      <c r="A64" s="116" t="s">
        <v>120</v>
      </c>
      <c r="B64">
        <v>0</v>
      </c>
    </row>
    <row r="65" spans="1:2" x14ac:dyDescent="0.3">
      <c r="A65" s="115" t="s">
        <v>132</v>
      </c>
    </row>
    <row r="66" spans="1:2" x14ac:dyDescent="0.3">
      <c r="A66" s="116" t="s">
        <v>123</v>
      </c>
      <c r="B66">
        <v>576048</v>
      </c>
    </row>
    <row r="67" spans="1:2" x14ac:dyDescent="0.3">
      <c r="A67" s="116" t="s">
        <v>120</v>
      </c>
      <c r="B67">
        <v>100000</v>
      </c>
    </row>
    <row r="68" spans="1:2" x14ac:dyDescent="0.3">
      <c r="A68" s="115" t="s">
        <v>117</v>
      </c>
      <c r="B68">
        <v>2214915</v>
      </c>
    </row>
    <row r="74" spans="1:2" x14ac:dyDescent="0.3">
      <c r="A74" s="114" t="s">
        <v>115</v>
      </c>
      <c r="B74" t="s">
        <v>134</v>
      </c>
    </row>
    <row r="75" spans="1:2" x14ac:dyDescent="0.3">
      <c r="A75" s="115" t="s">
        <v>121</v>
      </c>
      <c r="B75">
        <v>3554.1400000000003</v>
      </c>
    </row>
    <row r="76" spans="1:2" x14ac:dyDescent="0.3">
      <c r="A76" s="116" t="s">
        <v>122</v>
      </c>
      <c r="B76">
        <v>206.17500000000001</v>
      </c>
    </row>
    <row r="77" spans="1:2" x14ac:dyDescent="0.3">
      <c r="A77" s="116" t="s">
        <v>123</v>
      </c>
      <c r="B77">
        <v>136.22</v>
      </c>
    </row>
    <row r="78" spans="1:2" x14ac:dyDescent="0.3">
      <c r="A78" s="116" t="s">
        <v>124</v>
      </c>
      <c r="B78">
        <v>295.69499999999999</v>
      </c>
    </row>
    <row r="79" spans="1:2" x14ac:dyDescent="0.3">
      <c r="A79" s="116" t="s">
        <v>125</v>
      </c>
      <c r="B79">
        <v>254.58</v>
      </c>
    </row>
    <row r="80" spans="1:2" x14ac:dyDescent="0.3">
      <c r="A80" s="116" t="s">
        <v>126</v>
      </c>
      <c r="B80">
        <v>220.15</v>
      </c>
    </row>
    <row r="81" spans="1:2" x14ac:dyDescent="0.3">
      <c r="A81" s="116" t="s">
        <v>127</v>
      </c>
      <c r="B81">
        <v>357.45000000000005</v>
      </c>
    </row>
    <row r="82" spans="1:2" x14ac:dyDescent="0.3">
      <c r="A82" s="116" t="s">
        <v>128</v>
      </c>
      <c r="B82">
        <v>367.68</v>
      </c>
    </row>
    <row r="83" spans="1:2" x14ac:dyDescent="0.3">
      <c r="A83" s="116" t="s">
        <v>129</v>
      </c>
      <c r="B83">
        <v>422.93</v>
      </c>
    </row>
    <row r="84" spans="1:2" x14ac:dyDescent="0.3">
      <c r="A84" s="116" t="s">
        <v>120</v>
      </c>
      <c r="B84">
        <v>528.97</v>
      </c>
    </row>
    <row r="85" spans="1:2" x14ac:dyDescent="0.3">
      <c r="A85" s="116" t="s">
        <v>130</v>
      </c>
      <c r="B85">
        <v>190</v>
      </c>
    </row>
    <row r="86" spans="1:2" x14ac:dyDescent="0.3">
      <c r="A86" s="116" t="s">
        <v>131</v>
      </c>
      <c r="B86">
        <v>574.29</v>
      </c>
    </row>
    <row r="87" spans="1:2" x14ac:dyDescent="0.3">
      <c r="A87" s="115" t="s">
        <v>132</v>
      </c>
      <c r="B87">
        <v>3971.9</v>
      </c>
    </row>
    <row r="88" spans="1:2" x14ac:dyDescent="0.3">
      <c r="A88" s="116" t="s">
        <v>135</v>
      </c>
      <c r="B88">
        <v>750</v>
      </c>
    </row>
    <row r="89" spans="1:2" x14ac:dyDescent="0.3">
      <c r="A89" s="116" t="s">
        <v>122</v>
      </c>
      <c r="B89">
        <v>657.75</v>
      </c>
    </row>
    <row r="90" spans="1:2" x14ac:dyDescent="0.3">
      <c r="A90" s="116" t="s">
        <v>123</v>
      </c>
      <c r="B90">
        <v>511.65</v>
      </c>
    </row>
    <row r="91" spans="1:2" x14ac:dyDescent="0.3">
      <c r="A91" s="116" t="s">
        <v>124</v>
      </c>
      <c r="B91">
        <v>633.5</v>
      </c>
    </row>
    <row r="92" spans="1:2" x14ac:dyDescent="0.3">
      <c r="A92" s="116" t="s">
        <v>125</v>
      </c>
      <c r="B92">
        <v>680.1</v>
      </c>
    </row>
    <row r="93" spans="1:2" x14ac:dyDescent="0.3">
      <c r="A93" s="116" t="s">
        <v>126</v>
      </c>
      <c r="B93">
        <v>492.5</v>
      </c>
    </row>
    <row r="94" spans="1:2" x14ac:dyDescent="0.3">
      <c r="A94" s="116" t="s">
        <v>127</v>
      </c>
      <c r="B94">
        <v>246.39999999999998</v>
      </c>
    </row>
    <row r="95" spans="1:2" x14ac:dyDescent="0.3">
      <c r="A95" s="115" t="s">
        <v>117</v>
      </c>
      <c r="B95">
        <v>7526.04</v>
      </c>
    </row>
  </sheetData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Bank Account</vt:lpstr>
      <vt:lpstr>Expense monthly</vt:lpstr>
      <vt:lpstr>Expense</vt:lpstr>
      <vt:lpstr>Shopping before</vt:lpstr>
      <vt:lpstr>Fees Payment</vt:lpstr>
      <vt:lpstr>INR spending</vt:lpstr>
      <vt:lpstr>Loan</vt:lpstr>
      <vt:lpstr>Earning</vt:lpstr>
      <vt:lpstr>Savings</vt:lpstr>
      <vt:lpstr>Macro</vt:lpstr>
      <vt:lpstr>Tracker</vt:lpstr>
      <vt:lpstr>Food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Harshit jain</cp:lastModifiedBy>
  <cp:revision/>
  <dcterms:created xsi:type="dcterms:W3CDTF">2022-09-22T04:35:01Z</dcterms:created>
  <dcterms:modified xsi:type="dcterms:W3CDTF">2024-12-28T04:23:02Z</dcterms:modified>
  <cp:category/>
  <cp:contentStatus/>
</cp:coreProperties>
</file>